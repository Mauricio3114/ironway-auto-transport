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omingosdioegenes/Desktop/Domingos Filho/1 - AMERICA/DE Capital/03 - Car Hauler /Contas Marcos/"/>
    </mc:Choice>
  </mc:AlternateContent>
  <xr:revisionPtr revIDLastSave="0" documentId="13_ncr:1_{84D4C0B6-E8E8-264E-BDF6-83420CA3C459}" xr6:coauthVersionLast="47" xr6:coauthVersionMax="47" xr10:uidLastSave="{00000000-0000-0000-0000-000000000000}"/>
  <bookViews>
    <workbookView xWindow="0" yWindow="760" windowWidth="30240" windowHeight="17900" activeTab="2" xr2:uid="{A133FEDA-14F9-9E43-BE04-615576D4723C}"/>
  </bookViews>
  <sheets>
    <sheet name="Semana 1 -  03.02 a.07.02" sheetId="1" r:id="rId1"/>
    <sheet name="Semana 2 -  08.02 a 14.02" sheetId="4" r:id="rId2"/>
    <sheet name="Semana 3 -  15.02 a 21.02 " sheetId="8" r:id="rId3"/>
    <sheet name="EVOLUÇÃO" sheetId="7" r:id="rId4"/>
    <sheet name="Resumo" sheetId="9" r:id="rId5"/>
    <sheet name="SIMILAÇOES" sheetId="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24" i="8" l="1"/>
  <c r="AL23" i="8"/>
  <c r="S15" i="8"/>
  <c r="T15" i="8" s="1"/>
  <c r="Q15" i="8"/>
  <c r="E21" i="9"/>
  <c r="F21" i="9" s="1"/>
  <c r="E20" i="9"/>
  <c r="F20" i="9" s="1"/>
  <c r="E19" i="9"/>
  <c r="F19" i="9" s="1"/>
  <c r="E18" i="9"/>
  <c r="F18" i="9" s="1"/>
  <c r="E17" i="9"/>
  <c r="F17" i="9" s="1"/>
  <c r="E16" i="9"/>
  <c r="F16" i="9" s="1"/>
  <c r="E15" i="9"/>
  <c r="F15" i="9" s="1"/>
  <c r="D14" i="9"/>
  <c r="F14" i="9" s="1"/>
  <c r="D13" i="9"/>
  <c r="F13" i="9" s="1"/>
  <c r="D12" i="9"/>
  <c r="F12" i="9" s="1"/>
  <c r="D11" i="9"/>
  <c r="F11" i="9" s="1"/>
  <c r="F24" i="9" s="1"/>
  <c r="D8" i="9"/>
  <c r="D22" i="9" s="1"/>
  <c r="F22" i="9" s="1"/>
  <c r="AL22" i="8"/>
  <c r="P13" i="7"/>
  <c r="N13" i="7"/>
  <c r="L13" i="7"/>
  <c r="J13" i="7"/>
  <c r="H13" i="7"/>
  <c r="Q14" i="8"/>
  <c r="AL21" i="8"/>
  <c r="AL19" i="8"/>
  <c r="AL20" i="8"/>
  <c r="AL18" i="8"/>
  <c r="D54" i="8"/>
  <c r="D53" i="8"/>
  <c r="D52" i="8"/>
  <c r="D51" i="8"/>
  <c r="D50" i="8"/>
  <c r="K44" i="8"/>
  <c r="AL28" i="8"/>
  <c r="E25" i="8"/>
  <c r="P12" i="7"/>
  <c r="O12" i="7"/>
  <c r="O11" i="7"/>
  <c r="N12" i="7"/>
  <c r="M12" i="7"/>
  <c r="M11" i="7"/>
  <c r="P19" i="4"/>
  <c r="O19" i="4"/>
  <c r="K12" i="7"/>
  <c r="L12" i="7" s="1"/>
  <c r="K11" i="7"/>
  <c r="I11" i="7"/>
  <c r="G12" i="7"/>
  <c r="H12" i="7" s="1"/>
  <c r="G11" i="7"/>
  <c r="K48" i="4"/>
  <c r="K46" i="4"/>
  <c r="AL26" i="4"/>
  <c r="S18" i="4"/>
  <c r="T18" i="4" s="1"/>
  <c r="Q18" i="4"/>
  <c r="AL28" i="4"/>
  <c r="AL25" i="4"/>
  <c r="AL24" i="4"/>
  <c r="AL23" i="4"/>
  <c r="AL22" i="4"/>
  <c r="AL21" i="4"/>
  <c r="AL20" i="4"/>
  <c r="AL19" i="4"/>
  <c r="AL18" i="4"/>
  <c r="K43" i="4"/>
  <c r="S17" i="4"/>
  <c r="T17" i="4" s="1"/>
  <c r="Q17" i="4"/>
  <c r="H19" i="4"/>
  <c r="H18" i="4"/>
  <c r="D45" i="1"/>
  <c r="D50" i="4"/>
  <c r="H16" i="4"/>
  <c r="E53" i="8" l="1"/>
  <c r="E52" i="8"/>
  <c r="E51" i="8"/>
  <c r="E50" i="8"/>
  <c r="D58" i="8"/>
  <c r="E54" i="8"/>
  <c r="E56" i="8"/>
  <c r="E55" i="8"/>
  <c r="E49" i="8"/>
  <c r="C41" i="8"/>
  <c r="E41" i="8" s="1"/>
  <c r="C40" i="8"/>
  <c r="E40" i="8" s="1"/>
  <c r="P26" i="8"/>
  <c r="Q26" i="8" s="1"/>
  <c r="O24" i="8"/>
  <c r="C48" i="8" s="1"/>
  <c r="E48" i="8" s="1"/>
  <c r="S16" i="4"/>
  <c r="T16" i="4" s="1"/>
  <c r="Q16" i="4"/>
  <c r="S15" i="4"/>
  <c r="T15" i="4" s="1"/>
  <c r="Q15" i="4"/>
  <c r="O24" i="4"/>
  <c r="C48" i="4" s="1"/>
  <c r="P22" i="4"/>
  <c r="E77" i="1"/>
  <c r="H71" i="1"/>
  <c r="H69" i="1"/>
  <c r="S50" i="1"/>
  <c r="S14" i="4"/>
  <c r="T14" i="4" s="1"/>
  <c r="Q14" i="4"/>
  <c r="K39" i="3"/>
  <c r="K38" i="3"/>
  <c r="J37" i="3"/>
  <c r="K37" i="3" s="1"/>
  <c r="J36" i="3"/>
  <c r="K36" i="3" s="1"/>
  <c r="J35" i="3"/>
  <c r="K35" i="3" s="1"/>
  <c r="J34" i="3"/>
  <c r="J41" i="3" s="1"/>
  <c r="K33" i="3"/>
  <c r="K32" i="3"/>
  <c r="I31" i="3"/>
  <c r="I41" i="3" s="1"/>
  <c r="I42" i="3" s="1"/>
  <c r="I43" i="3" s="1"/>
  <c r="K43" i="3" s="1"/>
  <c r="I30" i="3"/>
  <c r="K30" i="3" s="1"/>
  <c r="F39" i="3"/>
  <c r="F38" i="3"/>
  <c r="E37" i="3"/>
  <c r="F37" i="3" s="1"/>
  <c r="E36" i="3"/>
  <c r="F36" i="3" s="1"/>
  <c r="E35" i="3"/>
  <c r="F35" i="3" s="1"/>
  <c r="E34" i="3"/>
  <c r="E41" i="3" s="1"/>
  <c r="F33" i="3"/>
  <c r="F32" i="3"/>
  <c r="D31" i="3"/>
  <c r="F31" i="3" s="1"/>
  <c r="D30" i="3"/>
  <c r="F30" i="3" s="1"/>
  <c r="K19" i="3"/>
  <c r="K18" i="3"/>
  <c r="J17" i="3"/>
  <c r="K17" i="3" s="1"/>
  <c r="J16" i="3"/>
  <c r="K16" i="3" s="1"/>
  <c r="J15" i="3"/>
  <c r="K15" i="3" s="1"/>
  <c r="J14" i="3"/>
  <c r="J21" i="3" s="1"/>
  <c r="K13" i="3"/>
  <c r="K12" i="3"/>
  <c r="I11" i="3"/>
  <c r="I21" i="3" s="1"/>
  <c r="I22" i="3" s="1"/>
  <c r="I23" i="3" s="1"/>
  <c r="K23" i="3" s="1"/>
  <c r="I10" i="3"/>
  <c r="K10" i="3" s="1"/>
  <c r="F19" i="3"/>
  <c r="F18" i="3"/>
  <c r="F17" i="3"/>
  <c r="F16" i="3"/>
  <c r="F15" i="3"/>
  <c r="E17" i="3"/>
  <c r="E16" i="3"/>
  <c r="E15" i="3"/>
  <c r="E14" i="3"/>
  <c r="E21" i="3" s="1"/>
  <c r="D54" i="4"/>
  <c r="D53" i="4"/>
  <c r="D52" i="4"/>
  <c r="D51" i="4"/>
  <c r="D58" i="4" s="1"/>
  <c r="K44" i="4"/>
  <c r="P26" i="4"/>
  <c r="E25" i="4"/>
  <c r="E78" i="1"/>
  <c r="E80" i="1" s="1"/>
  <c r="P26" i="1"/>
  <c r="S18" i="1"/>
  <c r="T18" i="1" s="1"/>
  <c r="Q22" i="1"/>
  <c r="Q18" i="1"/>
  <c r="AI25" i="1"/>
  <c r="C47" i="8" l="1"/>
  <c r="E47" i="8" s="1"/>
  <c r="K53" i="8"/>
  <c r="K55" i="8" s="1"/>
  <c r="K42" i="8"/>
  <c r="K46" i="8" s="1"/>
  <c r="C46" i="8"/>
  <c r="Q26" i="4"/>
  <c r="I12" i="7"/>
  <c r="J12" i="7" s="1"/>
  <c r="E56" i="4"/>
  <c r="E55" i="4"/>
  <c r="E53" i="4"/>
  <c r="E51" i="4"/>
  <c r="E50" i="4"/>
  <c r="E48" i="4"/>
  <c r="E54" i="4"/>
  <c r="E52" i="4"/>
  <c r="E49" i="4"/>
  <c r="K31" i="3"/>
  <c r="K41" i="3" s="1"/>
  <c r="K34" i="3"/>
  <c r="D41" i="3"/>
  <c r="D42" i="3" s="1"/>
  <c r="D43" i="3" s="1"/>
  <c r="F43" i="3" s="1"/>
  <c r="F34" i="3"/>
  <c r="F41" i="3" s="1"/>
  <c r="K11" i="3"/>
  <c r="K21" i="3" s="1"/>
  <c r="K14" i="3"/>
  <c r="C41" i="4"/>
  <c r="E41" i="4" s="1"/>
  <c r="C40" i="4"/>
  <c r="E40" i="4" s="1"/>
  <c r="H20" i="1"/>
  <c r="H18" i="1"/>
  <c r="K36" i="1"/>
  <c r="AI24" i="1"/>
  <c r="Q26" i="1"/>
  <c r="AI28" i="1"/>
  <c r="AI23" i="1"/>
  <c r="E46" i="8" l="1"/>
  <c r="E58" i="8" s="1"/>
  <c r="C58" i="8"/>
  <c r="C59" i="8" s="1"/>
  <c r="C60" i="8" s="1"/>
  <c r="E60" i="8" s="1"/>
  <c r="C46" i="4"/>
  <c r="K42" i="4"/>
  <c r="C47" i="4"/>
  <c r="E47" i="4" s="1"/>
  <c r="K53" i="4"/>
  <c r="K55" i="4" s="1"/>
  <c r="S17" i="1"/>
  <c r="T17" i="1" s="1"/>
  <c r="Q17" i="1"/>
  <c r="AI22" i="1"/>
  <c r="AI21" i="1"/>
  <c r="AI20" i="1"/>
  <c r="AI19" i="1"/>
  <c r="AI18" i="1"/>
  <c r="K38" i="1"/>
  <c r="C58" i="4" l="1"/>
  <c r="C59" i="4" s="1"/>
  <c r="C60" i="4" s="1"/>
  <c r="E60" i="4" s="1"/>
  <c r="E46" i="4"/>
  <c r="E58" i="4" s="1"/>
  <c r="D46" i="1"/>
  <c r="Q16" i="1"/>
  <c r="S15" i="1"/>
  <c r="T15" i="1" s="1"/>
  <c r="Q15" i="1"/>
  <c r="S14" i="1"/>
  <c r="T14" i="1" s="1"/>
  <c r="Q14" i="1" l="1"/>
  <c r="D47" i="1" l="1"/>
  <c r="E25" i="1"/>
  <c r="S51" i="1" l="1"/>
  <c r="S52" i="1" s="1"/>
  <c r="E45" i="1"/>
  <c r="E50" i="1"/>
  <c r="E51" i="1"/>
  <c r="D49" i="1" l="1"/>
  <c r="D48" i="1" l="1"/>
  <c r="D53" i="1" s="1"/>
  <c r="O24" i="1" l="1"/>
  <c r="C43" i="1" s="1"/>
  <c r="E47" i="1" l="1"/>
  <c r="E44" i="1"/>
  <c r="E49" i="1"/>
  <c r="E48" i="1"/>
  <c r="E46" i="1"/>
  <c r="E43" i="1"/>
  <c r="C35" i="1"/>
  <c r="E35" i="1" s="1"/>
  <c r="K37" i="1" s="1"/>
  <c r="K40" i="1" s="1"/>
  <c r="K42" i="1" s="1"/>
  <c r="C36" i="1"/>
  <c r="E36" i="1" s="1"/>
  <c r="C42" i="1" l="1"/>
  <c r="E42" i="1" s="1"/>
  <c r="K45" i="1"/>
  <c r="K50" i="1" s="1"/>
  <c r="C41" i="1"/>
  <c r="E41" i="1" s="1"/>
  <c r="E53" i="1" s="1"/>
  <c r="C53" i="1"/>
  <c r="C54" i="1" s="1"/>
  <c r="C55" i="1" s="1"/>
  <c r="E55" i="1" s="1"/>
  <c r="D11" i="3"/>
  <c r="D21" i="3" s="1"/>
  <c r="D22" i="3" s="1"/>
  <c r="D23" i="3" s="1"/>
  <c r="F23" i="3" s="1"/>
  <c r="F13" i="3"/>
  <c r="F12" i="3"/>
  <c r="F14" i="3"/>
  <c r="D10" i="3"/>
  <c r="F10" i="3" s="1"/>
  <c r="F11" i="3" l="1"/>
  <c r="F21" i="3" s="1"/>
</calcChain>
</file>

<file path=xl/sharedStrings.xml><?xml version="1.0" encoding="utf-8"?>
<sst xmlns="http://schemas.openxmlformats.org/spreadsheetml/2006/main" count="744" uniqueCount="225">
  <si>
    <t>MILHAGEM</t>
  </si>
  <si>
    <t>Milhas</t>
  </si>
  <si>
    <t>MODELO DO CARRO</t>
  </si>
  <si>
    <t>PICK UP</t>
  </si>
  <si>
    <t>DELIVERED</t>
  </si>
  <si>
    <t>VALOR</t>
  </si>
  <si>
    <t>FORMA DE PG</t>
  </si>
  <si>
    <t>DATA PG</t>
  </si>
  <si>
    <t>PRAZO (BD)</t>
  </si>
  <si>
    <t>STATUS</t>
  </si>
  <si>
    <t>-</t>
  </si>
  <si>
    <t>Abast 01</t>
  </si>
  <si>
    <t>Abast 02</t>
  </si>
  <si>
    <t>Valor</t>
  </si>
  <si>
    <t>Galão</t>
  </si>
  <si>
    <t>Milha/Galão</t>
  </si>
  <si>
    <t>Posto</t>
  </si>
  <si>
    <t>Estado</t>
  </si>
  <si>
    <t>MILHAGEM DO CARRO NA SAIDA</t>
  </si>
  <si>
    <t>Milhas Rodada entre um foto e outro do abastecimento</t>
  </si>
  <si>
    <t>Abast 03</t>
  </si>
  <si>
    <t>Foto da milhagem do carro do abastecimento seguinte</t>
  </si>
  <si>
    <t>Abast 04 (T. EXT)</t>
  </si>
  <si>
    <t>Abast 06</t>
  </si>
  <si>
    <t>Abast 07</t>
  </si>
  <si>
    <t>Abast 08</t>
  </si>
  <si>
    <t>Abast 10</t>
  </si>
  <si>
    <t>PRESTAÇÃO DE CONTAS RODRIGO</t>
  </si>
  <si>
    <t>SEMANA</t>
  </si>
  <si>
    <t>PERCENTUAL</t>
  </si>
  <si>
    <t>SEGURO CARGA SEMANAL</t>
  </si>
  <si>
    <t>GASTOS</t>
  </si>
  <si>
    <t>COMBUSTIVEL</t>
  </si>
  <si>
    <t>DISPATCHER (RODRIGO)</t>
  </si>
  <si>
    <t>SEGURO DO CARRO (183 O MÊS)</t>
  </si>
  <si>
    <t>FINANCIAMENTO CARRO (1197,66 O MÊS)</t>
  </si>
  <si>
    <t>TOTAL</t>
  </si>
  <si>
    <t>RESULTADO DA SEMANA</t>
  </si>
  <si>
    <t>PEDAGIOS</t>
  </si>
  <si>
    <t>MANUTENÇÃO</t>
  </si>
  <si>
    <t>Saldo a Receber</t>
  </si>
  <si>
    <t>$ / Galão</t>
  </si>
  <si>
    <t>SEMANA 03 DE FEVEREIRO DE 2026 A 07 DE FEVEREIRO DE 2026</t>
  </si>
  <si>
    <t>SUPERPAY</t>
  </si>
  <si>
    <t xml:space="preserve">DIA 03.02 - MARCOS PEGOU O CARRO NO YARD PELA MANHA. E FOI EM CASA PARA ALMOÇAR PEGAR AS COISAS E SAIR. "SAIU" UMAS 14HRS </t>
  </si>
  <si>
    <t>DRIVER (MARCOS)</t>
  </si>
  <si>
    <t>YARD (150 O MÊS)</t>
  </si>
  <si>
    <t>DIA 03.02 - ERA PARA PEGAR 2 TESLS, SOMENTE 1 FICOU PRONTO E ACABOU QUE FICOU ESPERANDO UM POUCO LA</t>
  </si>
  <si>
    <t>Check on delivery</t>
  </si>
  <si>
    <t>Superpay</t>
  </si>
  <si>
    <t>PENDENTE</t>
  </si>
  <si>
    <t>FLORIDA</t>
  </si>
  <si>
    <t>HONDA CRV</t>
  </si>
  <si>
    <t>PORSCHE</t>
  </si>
  <si>
    <t>FORD CARGO</t>
  </si>
  <si>
    <t>SPORTAGE</t>
  </si>
  <si>
    <t>TESLA</t>
  </si>
  <si>
    <t>Debito do abastecimento que o Samuca pagou</t>
  </si>
  <si>
    <t>LOVES</t>
  </si>
  <si>
    <t>CIRCLE K</t>
  </si>
  <si>
    <t>GEORGIA</t>
  </si>
  <si>
    <t>CAROLINA DO SUL</t>
  </si>
  <si>
    <t>PILOT</t>
  </si>
  <si>
    <t>PAGO</t>
  </si>
  <si>
    <t>LOG BOOK MAGICA (153 O MÊS)</t>
  </si>
  <si>
    <t>Marcos Prestação de Contas</t>
  </si>
  <si>
    <t>Prestação de contas Rodrigo Semana</t>
  </si>
  <si>
    <t>Carro pagos diretos ao Rodrigo</t>
  </si>
  <si>
    <t>CARRO</t>
  </si>
  <si>
    <t>MILHAS</t>
  </si>
  <si>
    <t>$/MILHAS</t>
  </si>
  <si>
    <t>1208 Pine Ave, Orlando, FL 32824, EUA</t>
  </si>
  <si>
    <t>2412 W Tennessee St, Tallahassee, FL 32304, EUA</t>
  </si>
  <si>
    <t>11801 W Colonial Dr, Ocoee, FL 34761, EUA</t>
  </si>
  <si>
    <t>Albany Auto Auction, 1421 Liberty Expy, Albany, GA 31705, Estados Unidos</t>
  </si>
  <si>
    <t>8511 Manassas Dr, Manassas Park, VA 20111, EUA</t>
  </si>
  <si>
    <t>1825 Commerce Blvd, Midway, FL 32343, EUA</t>
  </si>
  <si>
    <t>1700 W Blancke St, Linden, NJ 07036, EUA</t>
  </si>
  <si>
    <t>1117 N Godfrey St, Allentown, PA 18109, EUA</t>
  </si>
  <si>
    <t>MEDIA</t>
  </si>
  <si>
    <t>VIRGINIA</t>
  </si>
  <si>
    <t>Esqueceu da foto da milhagem</t>
  </si>
  <si>
    <t>NISSA</t>
  </si>
  <si>
    <t>NISSAN</t>
  </si>
  <si>
    <t>17489 Old Stage Coach Rd, Dumfries, VA 22026</t>
  </si>
  <si>
    <t>666 hwy 1&amp;9 , Elizabeth, NJ 07202</t>
  </si>
  <si>
    <t>MEDIA DO PREÇO DO GALÃO</t>
  </si>
  <si>
    <t>META</t>
  </si>
  <si>
    <t>CASH</t>
  </si>
  <si>
    <t>Debito CASH recebimento honda civiq</t>
  </si>
  <si>
    <t>125 W Main St, Somerville, NJ 08876
Somerville, NJ 08876</t>
  </si>
  <si>
    <t>52 Dade ct. Saint Augustine Florida. 32092
Saint Augustine, FL 32092</t>
  </si>
  <si>
    <t>TAHOE</t>
  </si>
  <si>
    <t>TAHONE</t>
  </si>
  <si>
    <t>DIA 06.02 - CHEGAMOS PARA PEGAR UM CARRO E JÁ TINHAM PEGUE , ISSO NA SEXTA A NOITE E FICAMOS A NOITE PARADA. E PERDEMOS A VAN DO DIA SEGUINTE</t>
  </si>
  <si>
    <t xml:space="preserve">RAV4 </t>
  </si>
  <si>
    <t>RAV4</t>
  </si>
  <si>
    <t>JACKSONVILLE, FL 32099</t>
  </si>
  <si>
    <t>WEST ORANGE ,  NJ 07052</t>
  </si>
  <si>
    <t>Abast 05 (DEF)</t>
  </si>
  <si>
    <t>MARYLAND</t>
  </si>
  <si>
    <t>TA</t>
  </si>
  <si>
    <t>NEW JERSEY</t>
  </si>
  <si>
    <t>Abast 06 (T.EXT)</t>
  </si>
  <si>
    <t>DIA 07.02 - SUBINDO 2H PARA PEGAR 2 CAARROS PARA DESCER PARA A FLORIDA , ESSE CARROS FORAM CANCELADOS. DESCEMOS 3H PARA PEGAR A VAN A MESMA JÁ TINHA SIDO PEQGUE</t>
  </si>
  <si>
    <t>DIA 07 EXTRAMEENTE ESTRESSANTE E DESORGANIZADO POR PARTE DA EQUIPE DO RODIRGO.</t>
  </si>
  <si>
    <t>11550 Crossroads Cir, Baltimore, MD 21220, EUA</t>
  </si>
  <si>
    <t>DRIVER</t>
  </si>
  <si>
    <t>VAN</t>
  </si>
  <si>
    <t>FATURAR NA SEMANA</t>
  </si>
  <si>
    <t xml:space="preserve">MILHAGEM DO CARRO NoO FIM </t>
  </si>
  <si>
    <t>NÃO PEGAMOS O RELA - PEGAMOS APÓS O ABASTECIMENTO NO DOMINGO AS 15:33</t>
  </si>
  <si>
    <t>FOI CONSIDERADO AQUI O ABASTECIMENTO 6 DA SEMANA PASSADA</t>
  </si>
  <si>
    <t>MAYRALND</t>
  </si>
  <si>
    <t>milhas</t>
  </si>
  <si>
    <t>produção semana</t>
  </si>
  <si>
    <t>Pagar o zelle</t>
  </si>
  <si>
    <t>marcaodocarhauler@gmail.com</t>
  </si>
  <si>
    <t>Abasteceu o DEF no domingo dia 08</t>
  </si>
  <si>
    <t>Comprou o teste do fusivel</t>
  </si>
  <si>
    <t>Abast 03 (DEF)</t>
  </si>
  <si>
    <t>FOI PAGO COM O DINHEITO DOMARCOS - FEITO NA PRESTAÇÃO DE CONTA DA SEMANA PASSADA</t>
  </si>
  <si>
    <t xml:space="preserve">VIRGINA </t>
  </si>
  <si>
    <t>ESQUECEU DE BATER A FOTO</t>
  </si>
  <si>
    <t>DIA 08.02 - DOMINGO - PEGAMOS 1 VAN PARA TAMPA - CARRO JÁ ESTAVA COM OUTROS 2 CARROS DA SEMANA PASSADA</t>
  </si>
  <si>
    <t>Prestação de contas Rodrigo SEGURO</t>
  </si>
  <si>
    <t>Zelle</t>
  </si>
  <si>
    <t>DIA 09.02 - SEGUNDA - ENTREGA RAV4 , ENTREGA TAHOE E ENTREGA VAN - DIA TODO - TIVEMOS UM SIERRA CANCELADO E DOIS CIBERTRUCK - PREÇOS BONS</t>
  </si>
  <si>
    <t>DIA 09.02 - AINDA TEVE QUE VOLTAR A BASE BATENDO - PARA CONCERTAR TRAILER - AJEITAR A PARTE DAS LUZES</t>
  </si>
  <si>
    <t>DIA 10.02 - OCARRO PASSOU A MANHA TODA NA OFICINA PARA CONCERTAR UM APARTE ELETRICA DO TRAILER. SO SAIU A TARDE</t>
  </si>
  <si>
    <t>ATLAS</t>
  </si>
  <si>
    <t>HONDA</t>
  </si>
  <si>
    <t>Cash</t>
  </si>
  <si>
    <t>JEEP</t>
  </si>
  <si>
    <t>JEEP WRANGLER</t>
  </si>
  <si>
    <t>F150</t>
  </si>
  <si>
    <t>431 Hospitality Ln Myrtle Beach, SC 29579</t>
  </si>
  <si>
    <t>Prestação de contas Rodrigo Superdispatcher</t>
  </si>
  <si>
    <t>Falta Receber da Nissan</t>
  </si>
  <si>
    <t>SUPERDISPATCHER (50 O MÊS)</t>
  </si>
  <si>
    <t>CH para 10 dias</t>
  </si>
  <si>
    <t>DELIVERY</t>
  </si>
  <si>
    <t>ESTADO PICK UP</t>
  </si>
  <si>
    <t>MÊS</t>
  </si>
  <si>
    <t>ADESA Orlando, 2851 St Johns Pkwy, Sanford, FL 32771, EUA</t>
  </si>
  <si>
    <t>SEMANA1</t>
  </si>
  <si>
    <t>FL</t>
  </si>
  <si>
    <t>ESTADO DELIVERY</t>
  </si>
  <si>
    <t xml:space="preserve">368 Oakridge Church Rd.Tifton, GA 31794
</t>
  </si>
  <si>
    <t>GA</t>
  </si>
  <si>
    <t>VA</t>
  </si>
  <si>
    <t>NJ</t>
  </si>
  <si>
    <t>PA</t>
  </si>
  <si>
    <t>FORMA PG.</t>
  </si>
  <si>
    <t>PRAZO</t>
  </si>
  <si>
    <t>ELENTRAN</t>
  </si>
  <si>
    <t>15100 woods edge road south Chesterfield, VA 23834</t>
  </si>
  <si>
    <t>CHEK</t>
  </si>
  <si>
    <t>LEXUS 2016</t>
  </si>
  <si>
    <t>LEXUS</t>
  </si>
  <si>
    <t>3902 Richmond Hwy, Stafford, VA 22554</t>
  </si>
  <si>
    <t>15201 Review Road Culpeper, VA 22701</t>
  </si>
  <si>
    <t>52 Dade ct. Saint Augustine Florida. 32092</t>
  </si>
  <si>
    <t>SEMANA 2</t>
  </si>
  <si>
    <t>MD</t>
  </si>
  <si>
    <t>SC</t>
  </si>
  <si>
    <t>925 bartow rd Lakeland, FL 33801</t>
  </si>
  <si>
    <t>11801 west colonial dr. Ocoee, FL 34761</t>
  </si>
  <si>
    <t>9800 BACHMAN ROAD ORLANDO, FL 32824</t>
  </si>
  <si>
    <t>NC</t>
  </si>
  <si>
    <t>AL</t>
  </si>
  <si>
    <t>4349 abbots bridge rdDuluth, GA 30097</t>
  </si>
  <si>
    <t>SILVERADO</t>
  </si>
  <si>
    <t>2285 County Road 51N Camden, AL 36726</t>
  </si>
  <si>
    <t>175 Freedom Way Jacksonville, NC 28544</t>
  </si>
  <si>
    <t>DIA 14.02 - DE NOVO FICAMOS SEM ATENDIMENTO DO RODRIGO NO SABADO - SOMENTE 1 CARRO - DE NOVO ESTRESS</t>
  </si>
  <si>
    <t>Saldo a Pagar Marcos</t>
  </si>
  <si>
    <t>Valor a pagar BROOKFREE - LEXUS 2016</t>
  </si>
  <si>
    <t>Prestação de contas Rodrigo (12%) Semana</t>
  </si>
  <si>
    <t>Carro pagos diretos ao Rodrigo (Atlas, Jeep, F150)</t>
  </si>
  <si>
    <t>Valro SEGURO  semanal</t>
  </si>
  <si>
    <t>Saldo a Receber do Rodrigo</t>
  </si>
  <si>
    <t>Semana 01.02 a 08.02 Pendente valor NISSAN</t>
  </si>
  <si>
    <t>PRESTAÇÃO DE CONTAS DISPATCHER - 08.02 a 14.02</t>
  </si>
  <si>
    <t>PRESTAÇÃO DE CONTAS DRIVER 08.02 a 14.02</t>
  </si>
  <si>
    <t>SEMANA 1</t>
  </si>
  <si>
    <t>01.02.26 a 07.02.26</t>
  </si>
  <si>
    <t>08.02.26 a 14.02.26</t>
  </si>
  <si>
    <t>FATURAMENTO</t>
  </si>
  <si>
    <t>VARIAÇÃO</t>
  </si>
  <si>
    <t>$/GALÃO</t>
  </si>
  <si>
    <t>$/MILHA</t>
  </si>
  <si>
    <t>Abast 04</t>
  </si>
  <si>
    <t>Abast 05 (T. EXT)</t>
  </si>
  <si>
    <t>RESULTADO</t>
  </si>
  <si>
    <t>GASTO COMB.</t>
  </si>
  <si>
    <t>2101 Grand Ave Birmingham, AL 35226</t>
  </si>
  <si>
    <t>6133 Saybrook Dr Raleigh, NC 27604</t>
  </si>
  <si>
    <t>NISSAN 2015</t>
  </si>
  <si>
    <t>NISSA 2015</t>
  </si>
  <si>
    <t>SEMANA 3</t>
  </si>
  <si>
    <t>60 Sadisco Road Clayton, NC 27520</t>
  </si>
  <si>
    <t>205A Wildwood Avenue Worcester, MA 01603</t>
  </si>
  <si>
    <t>MA</t>
  </si>
  <si>
    <t>125 falls run dr suite 113 Fredericksburg, VA 22406</t>
  </si>
  <si>
    <t>HONDA 2019</t>
  </si>
  <si>
    <t>CHECK</t>
  </si>
  <si>
    <t>Dinheiro com ele - NISSAN 2015</t>
  </si>
  <si>
    <t>Carro pagos diretos ao Rodrigo ()</t>
  </si>
  <si>
    <t>YOKON</t>
  </si>
  <si>
    <t>318 bagley rd kenly , NC 27542</t>
  </si>
  <si>
    <t>447 Oakshade Road Shamong, NJ 08088</t>
  </si>
  <si>
    <t>15.02.26 a 21.02.26</t>
  </si>
  <si>
    <t>JAGUAR</t>
  </si>
  <si>
    <t>120 Auction Dr Fredericksburg, VA 22406</t>
  </si>
  <si>
    <t>1476 U.S. 209 Brodheadsville, PA 18322</t>
  </si>
  <si>
    <t>AINDA NÃO CHEGOU O VALOR DO COMBUSTIVER POR EMAIL</t>
  </si>
  <si>
    <t>Faturado</t>
  </si>
  <si>
    <t>IRON WAY</t>
  </si>
  <si>
    <t>110 North Main Street Uxbridge, MA 01569</t>
  </si>
  <si>
    <t>1266 Cypress Shoal Drive Conway, SC 29526</t>
  </si>
  <si>
    <t>518 Hazel Street Uxbridge, MA 01569</t>
  </si>
  <si>
    <t>3335 North Military Highway Norfolk, VA 23518</t>
  </si>
  <si>
    <t>AUDI Q5</t>
  </si>
  <si>
    <t>CHEVY C10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</si>
</sst>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R$&quot;\ * #,##0.00_-;\-&quot;R$&quot;\ * #,##0.00_-;_-&quot;R$&quot;\ * &quot;-&quot;??_-;_-@_-"/>
    <numFmt numFmtId="164" formatCode="_-[$$-409]* #,##0.00_ ;_-[$$-409]* \-#,##0.00\ ;_-[$$-409]* &quot;-&quot;??_ ;_-@_ "/>
    <numFmt numFmtId="165" formatCode="[$$-45C]#,##0.00;[Red]\-[$$-45C]#,##0.00"/>
    <numFmt numFmtId="166" formatCode="_-[$$-409]* #,##0_ ;_-[$$-409]* \-#,##0\ ;_-[$$-409]* &quot;-&quot;??_ ;_-@_ "/>
    <numFmt numFmtId="167" formatCode="0.0%"/>
  </numFmts>
  <fonts count="7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FF00"/>
      <name val="Calibri"/>
      <family val="2"/>
      <scheme val="minor"/>
    </font>
    <font>
      <b/>
      <sz val="12"/>
      <color rgb="FFFFFF00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68">
    <xf numFmtId="0" fontId="0" fillId="0" borderId="0" xfId="0"/>
    <xf numFmtId="164" fontId="0" fillId="0" borderId="0" xfId="0" applyNumberFormat="1"/>
    <xf numFmtId="0" fontId="0" fillId="0" borderId="1" xfId="0" applyBorder="1"/>
    <xf numFmtId="164" fontId="0" fillId="0" borderId="1" xfId="0" applyNumberForma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2" xfId="0" applyBorder="1"/>
    <xf numFmtId="0" fontId="1" fillId="2" borderId="6" xfId="0" applyFont="1" applyFill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1" fillId="2" borderId="7" xfId="0" applyFont="1" applyFill="1" applyBorder="1" applyAlignment="1">
      <alignment horizontal="justify" vertical="center"/>
    </xf>
    <xf numFmtId="0" fontId="1" fillId="2" borderId="8" xfId="0" applyFont="1" applyFill="1" applyBorder="1" applyAlignment="1">
      <alignment vertical="center"/>
    </xf>
    <xf numFmtId="0" fontId="1" fillId="2" borderId="12" xfId="0" applyFont="1" applyFill="1" applyBorder="1"/>
    <xf numFmtId="0" fontId="1" fillId="2" borderId="13" xfId="0" applyFont="1" applyFill="1" applyBorder="1"/>
    <xf numFmtId="0" fontId="0" fillId="0" borderId="14" xfId="0" applyBorder="1"/>
    <xf numFmtId="0" fontId="0" fillId="0" borderId="15" xfId="0" applyBorder="1"/>
    <xf numFmtId="164" fontId="0" fillId="3" borderId="1" xfId="0" applyNumberFormat="1" applyFill="1" applyBorder="1"/>
    <xf numFmtId="9" fontId="0" fillId="0" borderId="0" xfId="0" applyNumberFormat="1"/>
    <xf numFmtId="0" fontId="1" fillId="2" borderId="9" xfId="0" applyFont="1" applyFill="1" applyBorder="1"/>
    <xf numFmtId="0" fontId="1" fillId="2" borderId="10" xfId="0" applyFont="1" applyFill="1" applyBorder="1"/>
    <xf numFmtId="0" fontId="1" fillId="2" borderId="11" xfId="0" applyFont="1" applyFill="1" applyBorder="1"/>
    <xf numFmtId="0" fontId="0" fillId="0" borderId="18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164" fontId="0" fillId="0" borderId="0" xfId="0" applyNumberFormat="1" applyAlignment="1">
      <alignment horizontal="center"/>
    </xf>
    <xf numFmtId="10" fontId="0" fillId="0" borderId="0" xfId="1" applyNumberFormat="1" applyFont="1"/>
    <xf numFmtId="164" fontId="0" fillId="0" borderId="23" xfId="0" applyNumberFormat="1" applyBorder="1"/>
    <xf numFmtId="0" fontId="1" fillId="2" borderId="24" xfId="0" applyFont="1" applyFill="1" applyBorder="1"/>
    <xf numFmtId="164" fontId="0" fillId="3" borderId="26" xfId="0" applyNumberFormat="1" applyFill="1" applyBorder="1"/>
    <xf numFmtId="10" fontId="0" fillId="4" borderId="0" xfId="1" applyNumberFormat="1" applyFont="1" applyFill="1"/>
    <xf numFmtId="10" fontId="0" fillId="5" borderId="0" xfId="0" applyNumberFormat="1" applyFill="1"/>
    <xf numFmtId="0" fontId="0" fillId="3" borderId="18" xfId="0" applyFill="1" applyBorder="1"/>
    <xf numFmtId="0" fontId="1" fillId="3" borderId="18" xfId="0" applyFont="1" applyFill="1" applyBorder="1"/>
    <xf numFmtId="0" fontId="1" fillId="3" borderId="0" xfId="0" applyFont="1" applyFill="1"/>
    <xf numFmtId="0" fontId="0" fillId="3" borderId="14" xfId="0" applyFill="1" applyBorder="1"/>
    <xf numFmtId="16" fontId="0" fillId="3" borderId="1" xfId="0" applyNumberFormat="1" applyFill="1" applyBorder="1"/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0" fillId="3" borderId="15" xfId="0" applyFill="1" applyBorder="1"/>
    <xf numFmtId="0" fontId="0" fillId="3" borderId="0" xfId="0" applyFill="1"/>
    <xf numFmtId="0" fontId="0" fillId="3" borderId="19" xfId="0" applyFill="1" applyBorder="1"/>
    <xf numFmtId="0" fontId="0" fillId="3" borderId="9" xfId="0" applyFill="1" applyBorder="1"/>
    <xf numFmtId="0" fontId="0" fillId="3" borderId="10" xfId="0" applyFill="1" applyBorder="1"/>
    <xf numFmtId="164" fontId="0" fillId="3" borderId="10" xfId="0" applyNumberFormat="1" applyFill="1" applyBorder="1"/>
    <xf numFmtId="2" fontId="0" fillId="3" borderId="1" xfId="0" applyNumberFormat="1" applyFill="1" applyBorder="1"/>
    <xf numFmtId="0" fontId="0" fillId="3" borderId="15" xfId="0" applyFill="1" applyBorder="1" applyAlignment="1">
      <alignment horizontal="center"/>
    </xf>
    <xf numFmtId="0" fontId="0" fillId="3" borderId="25" xfId="0" applyFill="1" applyBorder="1"/>
    <xf numFmtId="0" fontId="0" fillId="3" borderId="26" xfId="0" applyFill="1" applyBorder="1"/>
    <xf numFmtId="2" fontId="0" fillId="3" borderId="26" xfId="0" applyNumberFormat="1" applyFill="1" applyBorder="1"/>
    <xf numFmtId="0" fontId="0" fillId="3" borderId="26" xfId="0" applyFill="1" applyBorder="1" applyAlignment="1">
      <alignment horizontal="center"/>
    </xf>
    <xf numFmtId="0" fontId="0" fillId="3" borderId="27" xfId="0" applyFill="1" applyBorder="1" applyAlignment="1">
      <alignment horizontal="center"/>
    </xf>
    <xf numFmtId="0" fontId="1" fillId="6" borderId="15" xfId="0" applyFont="1" applyFill="1" applyBorder="1" applyAlignment="1">
      <alignment horizontal="center"/>
    </xf>
    <xf numFmtId="2" fontId="0" fillId="3" borderId="10" xfId="0" applyNumberFormat="1" applyFill="1" applyBorder="1"/>
    <xf numFmtId="164" fontId="0" fillId="7" borderId="0" xfId="0" applyNumberFormat="1" applyFill="1"/>
    <xf numFmtId="164" fontId="0" fillId="3" borderId="7" xfId="0" applyNumberFormat="1" applyFill="1" applyBorder="1"/>
    <xf numFmtId="0" fontId="0" fillId="3" borderId="7" xfId="0" applyFill="1" applyBorder="1"/>
    <xf numFmtId="0" fontId="1" fillId="9" borderId="15" xfId="0" applyFont="1" applyFill="1" applyBorder="1" applyAlignment="1">
      <alignment horizontal="center"/>
    </xf>
    <xf numFmtId="0" fontId="0" fillId="3" borderId="8" xfId="0" applyFill="1" applyBorder="1"/>
    <xf numFmtId="164" fontId="0" fillId="10" borderId="0" xfId="0" applyNumberFormat="1" applyFill="1"/>
    <xf numFmtId="164" fontId="0" fillId="2" borderId="0" xfId="0" applyNumberFormat="1" applyFill="1"/>
    <xf numFmtId="164" fontId="0" fillId="8" borderId="0" xfId="0" applyNumberFormat="1" applyFill="1"/>
    <xf numFmtId="164" fontId="0" fillId="8" borderId="1" xfId="0" applyNumberFormat="1" applyFill="1" applyBorder="1"/>
    <xf numFmtId="0" fontId="1" fillId="10" borderId="29" xfId="0" applyFont="1" applyFill="1" applyBorder="1"/>
    <xf numFmtId="0" fontId="1" fillId="10" borderId="30" xfId="0" applyFont="1" applyFill="1" applyBorder="1"/>
    <xf numFmtId="0" fontId="0" fillId="0" borderId="26" xfId="0" applyBorder="1"/>
    <xf numFmtId="0" fontId="0" fillId="11" borderId="1" xfId="0" applyFill="1" applyBorder="1"/>
    <xf numFmtId="0" fontId="0" fillId="11" borderId="17" xfId="0" applyFill="1" applyBorder="1"/>
    <xf numFmtId="164" fontId="3" fillId="6" borderId="2" xfId="0" applyNumberFormat="1" applyFont="1" applyFill="1" applyBorder="1"/>
    <xf numFmtId="164" fontId="4" fillId="12" borderId="2" xfId="0" applyNumberFormat="1" applyFont="1" applyFill="1" applyBorder="1"/>
    <xf numFmtId="164" fontId="0" fillId="13" borderId="1" xfId="0" applyNumberFormat="1" applyFill="1" applyBorder="1"/>
    <xf numFmtId="0" fontId="0" fillId="14" borderId="14" xfId="0" applyFill="1" applyBorder="1"/>
    <xf numFmtId="0" fontId="0" fillId="14" borderId="1" xfId="0" applyFill="1" applyBorder="1"/>
    <xf numFmtId="164" fontId="0" fillId="14" borderId="1" xfId="0" applyNumberFormat="1" applyFill="1" applyBorder="1"/>
    <xf numFmtId="2" fontId="0" fillId="14" borderId="1" xfId="0" applyNumberFormat="1" applyFill="1" applyBorder="1"/>
    <xf numFmtId="0" fontId="0" fillId="14" borderId="1" xfId="0" applyFill="1" applyBorder="1" applyAlignment="1">
      <alignment horizontal="center"/>
    </xf>
    <xf numFmtId="0" fontId="0" fillId="14" borderId="15" xfId="0" applyFill="1" applyBorder="1" applyAlignment="1">
      <alignment horizontal="center"/>
    </xf>
    <xf numFmtId="0" fontId="0" fillId="0" borderId="16" xfId="0" applyBorder="1"/>
    <xf numFmtId="9" fontId="0" fillId="0" borderId="16" xfId="0" applyNumberFormat="1" applyBorder="1"/>
    <xf numFmtId="164" fontId="0" fillId="0" borderId="16" xfId="0" applyNumberFormat="1" applyBorder="1"/>
    <xf numFmtId="164" fontId="0" fillId="15" borderId="1" xfId="0" applyNumberFormat="1" applyFill="1" applyBorder="1"/>
    <xf numFmtId="164" fontId="0" fillId="0" borderId="1" xfId="0" applyNumberFormat="1" applyBorder="1" applyAlignment="1">
      <alignment horizontal="center"/>
    </xf>
    <xf numFmtId="164" fontId="0" fillId="7" borderId="1" xfId="0" applyNumberFormat="1" applyFill="1" applyBorder="1"/>
    <xf numFmtId="10" fontId="0" fillId="0" borderId="15" xfId="1" applyNumberFormat="1" applyFont="1" applyBorder="1"/>
    <xf numFmtId="10" fontId="0" fillId="5" borderId="15" xfId="0" applyNumberFormat="1" applyFill="1" applyBorder="1"/>
    <xf numFmtId="0" fontId="0" fillId="0" borderId="25" xfId="0" applyBorder="1"/>
    <xf numFmtId="10" fontId="0" fillId="4" borderId="27" xfId="1" applyNumberFormat="1" applyFont="1" applyFill="1" applyBorder="1"/>
    <xf numFmtId="0" fontId="0" fillId="0" borderId="33" xfId="0" applyBorder="1"/>
    <xf numFmtId="0" fontId="0" fillId="0" borderId="17" xfId="0" applyBorder="1"/>
    <xf numFmtId="0" fontId="5" fillId="16" borderId="28" xfId="0" applyFont="1" applyFill="1" applyBorder="1"/>
    <xf numFmtId="0" fontId="5" fillId="10" borderId="28" xfId="0" applyFont="1" applyFill="1" applyBorder="1"/>
    <xf numFmtId="0" fontId="5" fillId="2" borderId="28" xfId="0" applyFont="1" applyFill="1" applyBorder="1"/>
    <xf numFmtId="0" fontId="5" fillId="17" borderId="28" xfId="0" applyFont="1" applyFill="1" applyBorder="1"/>
    <xf numFmtId="0" fontId="6" fillId="0" borderId="0" xfId="3"/>
    <xf numFmtId="164" fontId="0" fillId="3" borderId="34" xfId="0" applyNumberFormat="1" applyFill="1" applyBorder="1"/>
    <xf numFmtId="0" fontId="0" fillId="3" borderId="34" xfId="0" applyFill="1" applyBorder="1"/>
    <xf numFmtId="0" fontId="0" fillId="3" borderId="35" xfId="0" applyFill="1" applyBorder="1"/>
    <xf numFmtId="0" fontId="0" fillId="3" borderId="11" xfId="0" applyFill="1" applyBorder="1"/>
    <xf numFmtId="0" fontId="0" fillId="18" borderId="34" xfId="0" applyFill="1" applyBorder="1"/>
    <xf numFmtId="0" fontId="1" fillId="10" borderId="29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6" fontId="0" fillId="2" borderId="0" xfId="0" applyNumberFormat="1" applyFill="1"/>
    <xf numFmtId="166" fontId="0" fillId="2" borderId="0" xfId="2" applyNumberFormat="1" applyFont="1" applyFill="1"/>
    <xf numFmtId="166" fontId="0" fillId="0" borderId="0" xfId="0" applyNumberFormat="1"/>
    <xf numFmtId="0" fontId="1" fillId="10" borderId="28" xfId="0" applyFont="1" applyFill="1" applyBorder="1"/>
    <xf numFmtId="0" fontId="0" fillId="0" borderId="1" xfId="0" applyBorder="1" applyAlignment="1">
      <alignment wrapText="1"/>
    </xf>
    <xf numFmtId="17" fontId="0" fillId="3" borderId="1" xfId="0" applyNumberFormat="1" applyFill="1" applyBorder="1" applyAlignment="1">
      <alignment horizontal="center"/>
    </xf>
    <xf numFmtId="164" fontId="0" fillId="0" borderId="26" xfId="0" applyNumberFormat="1" applyBorder="1"/>
    <xf numFmtId="0" fontId="0" fillId="0" borderId="27" xfId="0" applyBorder="1"/>
    <xf numFmtId="17" fontId="0" fillId="3" borderId="16" xfId="0" applyNumberFormat="1" applyFill="1" applyBorder="1" applyAlignment="1">
      <alignment horizontal="center"/>
    </xf>
    <xf numFmtId="0" fontId="0" fillId="3" borderId="16" xfId="0" applyFill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3" borderId="17" xfId="0" applyFill="1" applyBorder="1"/>
    <xf numFmtId="0" fontId="0" fillId="3" borderId="33" xfId="0" applyFill="1" applyBorder="1"/>
    <xf numFmtId="0" fontId="0" fillId="0" borderId="3" xfId="0" applyBorder="1" applyAlignment="1">
      <alignment horizontal="center"/>
    </xf>
    <xf numFmtId="0" fontId="0" fillId="0" borderId="31" xfId="0" applyBorder="1"/>
    <xf numFmtId="0" fontId="0" fillId="3" borderId="1" xfId="0" applyFill="1" applyBorder="1" applyAlignment="1">
      <alignment horizontal="right"/>
    </xf>
    <xf numFmtId="0" fontId="0" fillId="3" borderId="13" xfId="0" applyFill="1" applyBorder="1"/>
    <xf numFmtId="0" fontId="0" fillId="0" borderId="14" xfId="0" applyBorder="1" applyAlignment="1">
      <alignment wrapText="1"/>
    </xf>
    <xf numFmtId="0" fontId="0" fillId="0" borderId="13" xfId="0" applyBorder="1" applyAlignment="1">
      <alignment wrapText="1"/>
    </xf>
    <xf numFmtId="0" fontId="0" fillId="0" borderId="12" xfId="0" applyBorder="1"/>
    <xf numFmtId="0" fontId="0" fillId="3" borderId="16" xfId="0" applyFill="1" applyBorder="1"/>
    <xf numFmtId="44" fontId="0" fillId="0" borderId="0" xfId="2" applyFont="1"/>
    <xf numFmtId="164" fontId="0" fillId="3" borderId="0" xfId="0" applyNumberFormat="1" applyFill="1"/>
    <xf numFmtId="164" fontId="0" fillId="10" borderId="19" xfId="0" applyNumberFormat="1" applyFill="1" applyBorder="1"/>
    <xf numFmtId="164" fontId="0" fillId="0" borderId="19" xfId="0" applyNumberFormat="1" applyBorder="1"/>
    <xf numFmtId="0" fontId="1" fillId="19" borderId="21" xfId="0" applyFont="1" applyFill="1" applyBorder="1"/>
    <xf numFmtId="164" fontId="1" fillId="19" borderId="22" xfId="0" applyNumberFormat="1" applyFont="1" applyFill="1" applyBorder="1"/>
    <xf numFmtId="164" fontId="0" fillId="2" borderId="19" xfId="2" applyNumberFormat="1" applyFont="1" applyFill="1" applyBorder="1"/>
    <xf numFmtId="164" fontId="0" fillId="8" borderId="19" xfId="0" applyNumberFormat="1" applyFill="1" applyBorder="1"/>
    <xf numFmtId="164" fontId="0" fillId="0" borderId="5" xfId="0" applyNumberFormat="1" applyBorder="1"/>
    <xf numFmtId="164" fontId="0" fillId="0" borderId="20" xfId="0" applyNumberFormat="1" applyBorder="1"/>
    <xf numFmtId="164" fontId="0" fillId="0" borderId="3" xfId="0" applyNumberFormat="1" applyBorder="1"/>
    <xf numFmtId="0" fontId="0" fillId="0" borderId="2" xfId="0" applyBorder="1" applyAlignment="1">
      <alignment horizontal="center"/>
    </xf>
    <xf numFmtId="167" fontId="0" fillId="10" borderId="23" xfId="1" applyNumberFormat="1" applyFont="1" applyFill="1" applyBorder="1" applyAlignment="1">
      <alignment horizontal="center"/>
    </xf>
    <xf numFmtId="10" fontId="0" fillId="10" borderId="23" xfId="1" applyNumberFormat="1" applyFont="1" applyFill="1" applyBorder="1" applyAlignment="1">
      <alignment horizontal="center"/>
    </xf>
    <xf numFmtId="10" fontId="0" fillId="16" borderId="23" xfId="1" applyNumberFormat="1" applyFont="1" applyFill="1" applyBorder="1" applyAlignment="1">
      <alignment horizontal="center"/>
    </xf>
    <xf numFmtId="164" fontId="0" fillId="20" borderId="1" xfId="0" applyNumberFormat="1" applyFill="1" applyBorder="1"/>
    <xf numFmtId="0" fontId="0" fillId="20" borderId="0" xfId="0" applyFill="1"/>
    <xf numFmtId="10" fontId="0" fillId="21" borderId="23" xfId="1" applyNumberFormat="1" applyFont="1" applyFill="1" applyBorder="1" applyAlignment="1">
      <alignment horizontal="center"/>
    </xf>
    <xf numFmtId="10" fontId="0" fillId="0" borderId="0" xfId="0" applyNumberFormat="1"/>
    <xf numFmtId="164" fontId="0" fillId="3" borderId="16" xfId="0" applyNumberFormat="1" applyFill="1" applyBorder="1"/>
    <xf numFmtId="0" fontId="0" fillId="15" borderId="32" xfId="0" applyFill="1" applyBorder="1" applyAlignment="1">
      <alignment horizontal="center"/>
    </xf>
    <xf numFmtId="0" fontId="0" fillId="15" borderId="31" xfId="0" applyFill="1" applyBorder="1" applyAlignment="1">
      <alignment horizontal="center"/>
    </xf>
    <xf numFmtId="16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38" xfId="0" applyFont="1" applyBorder="1" applyAlignment="1">
      <alignment horizontal="center"/>
    </xf>
    <xf numFmtId="164" fontId="5" fillId="2" borderId="29" xfId="0" applyNumberFormat="1" applyFont="1" applyFill="1" applyBorder="1" applyAlignment="1">
      <alignment horizontal="center"/>
    </xf>
    <xf numFmtId="164" fontId="5" fillId="2" borderId="30" xfId="0" applyNumberFormat="1" applyFon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5" fontId="0" fillId="0" borderId="26" xfId="0" applyNumberFormat="1" applyBorder="1" applyAlignment="1">
      <alignment horizontal="center"/>
    </xf>
    <xf numFmtId="164" fontId="5" fillId="17" borderId="29" xfId="0" applyNumberFormat="1" applyFont="1" applyFill="1" applyBorder="1" applyAlignment="1">
      <alignment horizontal="center"/>
    </xf>
    <xf numFmtId="164" fontId="5" fillId="17" borderId="30" xfId="0" applyNumberFormat="1" applyFont="1" applyFill="1" applyBorder="1" applyAlignment="1">
      <alignment horizontal="center"/>
    </xf>
    <xf numFmtId="164" fontId="5" fillId="16" borderId="29" xfId="0" applyNumberFormat="1" applyFont="1" applyFill="1" applyBorder="1" applyAlignment="1">
      <alignment horizontal="center"/>
    </xf>
    <xf numFmtId="164" fontId="5" fillId="16" borderId="30" xfId="0" applyNumberFormat="1" applyFont="1" applyFill="1" applyBorder="1" applyAlignment="1">
      <alignment horizontal="center"/>
    </xf>
    <xf numFmtId="164" fontId="5" fillId="10" borderId="29" xfId="0" applyNumberFormat="1" applyFont="1" applyFill="1" applyBorder="1" applyAlignment="1">
      <alignment horizontal="center"/>
    </xf>
    <xf numFmtId="164" fontId="5" fillId="10" borderId="30" xfId="0" applyNumberFormat="1" applyFont="1" applyFill="1" applyBorder="1" applyAlignment="1">
      <alignment horizontal="center"/>
    </xf>
  </cellXfs>
  <cellStyles count="4">
    <cellStyle name="Hiperlink" xfId="3" builtinId="8"/>
    <cellStyle name="Moeda" xfId="2" builtinId="4"/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RESUMO</a:t>
            </a:r>
            <a:r>
              <a:rPr lang="pt-BR" baseline="0"/>
              <a:t> DOS GASTOS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51B-E44B-B003-D99C6764C3D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451B-E44B-B003-D99C6764C3D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51B-E44B-B003-D99C6764C3D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451B-E44B-B003-D99C6764C3D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6D0-7048-BEBE-33C6632BD46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C6D0-7048-BEBE-33C6632BD46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C6D0-7048-BEBE-33C6632BD46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C6D0-7048-BEBE-33C6632BD46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51B-E44B-B003-D99C6764C3D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C6D0-7048-BEBE-33C6632BD46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C6D0-7048-BEBE-33C6632BD46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451B-E44B-B003-D99C6764C3DA}"/>
              </c:ext>
            </c:extLst>
          </c:dPt>
          <c:dLbls>
            <c:dLbl>
              <c:idx val="0"/>
              <c:layout>
                <c:manualLayout>
                  <c:x val="8.8391278727165581E-2"/>
                  <c:y val="1.4980787401574821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9357690041249265"/>
                      <c:h val="3.400000000000000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451B-E44B-B003-D99C6764C3DA}"/>
                </c:ext>
              </c:extLst>
            </c:dLbl>
            <c:dLbl>
              <c:idx val="1"/>
              <c:layout>
                <c:manualLayout>
                  <c:x val="1.0775059275516311E-2"/>
                  <c:y val="-0.1454491968503937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51B-E44B-B003-D99C6764C3DA}"/>
                </c:ext>
              </c:extLst>
            </c:dLbl>
            <c:dLbl>
              <c:idx val="2"/>
              <c:layout>
                <c:manualLayout>
                  <c:x val="-8.5530788468766092E-2"/>
                  <c:y val="-5.0712566929133861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51B-E44B-B003-D99C6764C3DA}"/>
                </c:ext>
              </c:extLst>
            </c:dLbl>
            <c:dLbl>
              <c:idx val="3"/>
              <c:layout>
                <c:manualLayout>
                  <c:x val="-2.8408075390104818E-2"/>
                  <c:y val="3.5223937007874018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51B-E44B-B003-D99C6764C3DA}"/>
                </c:ext>
              </c:extLst>
            </c:dLbl>
            <c:dLbl>
              <c:idx val="8"/>
              <c:layout>
                <c:manualLayout>
                  <c:x val="6.1996854105670499E-3"/>
                  <c:y val="-1.2321133858267717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51B-E44B-B003-D99C6764C3DA}"/>
                </c:ext>
              </c:extLst>
            </c:dLbl>
            <c:dLbl>
              <c:idx val="11"/>
              <c:layout>
                <c:manualLayout>
                  <c:x val="5.4474593887313877E-2"/>
                  <c:y val="5.417952755905505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6315851502651738"/>
                      <c:h val="7.0376062992125968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451B-E44B-B003-D99C6764C3D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Resumo!$C$11:$C$22</c:f>
              <c:strCache>
                <c:ptCount val="12"/>
                <c:pt idx="0">
                  <c:v>DISPATCHER (RODRIGO)</c:v>
                </c:pt>
                <c:pt idx="1">
                  <c:v>DRIVER (MARCOS)</c:v>
                </c:pt>
                <c:pt idx="2">
                  <c:v>COMBUSTIVEL</c:v>
                </c:pt>
                <c:pt idx="3">
                  <c:v>SEGURO CARGA SEMANAL</c:v>
                </c:pt>
                <c:pt idx="4">
                  <c:v>SUPERDISPATCHER (50 O MÊS)</c:v>
                </c:pt>
                <c:pt idx="5">
                  <c:v>LOG BOOK MAGICA (153 O MÊS)</c:v>
                </c:pt>
                <c:pt idx="6">
                  <c:v>YARD (150 O MÊS)</c:v>
                </c:pt>
                <c:pt idx="7">
                  <c:v>SEGURO DO CARRO (183 O MÊS)</c:v>
                </c:pt>
                <c:pt idx="8">
                  <c:v>FINANCIAMENTO CARRO (1197,66 O MÊS)</c:v>
                </c:pt>
                <c:pt idx="9">
                  <c:v>PEDAGIOS</c:v>
                </c:pt>
                <c:pt idx="10">
                  <c:v>MANUTENÇÃO</c:v>
                </c:pt>
                <c:pt idx="11">
                  <c:v>IRON WAY</c:v>
                </c:pt>
              </c:strCache>
            </c:strRef>
          </c:cat>
          <c:val>
            <c:numRef>
              <c:f>Resumo!$F$11:$F$22</c:f>
              <c:numCache>
                <c:formatCode>0.00%</c:formatCode>
                <c:ptCount val="12"/>
                <c:pt idx="0">
                  <c:v>0.12000000000000001</c:v>
                </c:pt>
                <c:pt idx="1">
                  <c:v>0.3</c:v>
                </c:pt>
                <c:pt idx="2">
                  <c:v>0.26626644370122632</c:v>
                </c:pt>
                <c:pt idx="3">
                  <c:v>5.5741360089186176E-2</c:v>
                </c:pt>
                <c:pt idx="4">
                  <c:v>2.787068004459309E-3</c:v>
                </c:pt>
                <c:pt idx="5">
                  <c:v>8.5284280936454848E-3</c:v>
                </c:pt>
                <c:pt idx="6">
                  <c:v>8.3612040133779261E-3</c:v>
                </c:pt>
                <c:pt idx="7">
                  <c:v>1.0200668896321071E-2</c:v>
                </c:pt>
                <c:pt idx="8">
                  <c:v>6.6759197324414724E-2</c:v>
                </c:pt>
                <c:pt idx="9">
                  <c:v>2.2296544035674472E-2</c:v>
                </c:pt>
                <c:pt idx="10">
                  <c:v>2.2296544035674472E-2</c:v>
                </c:pt>
                <c:pt idx="11">
                  <c:v>0.11676254180602008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1B-E44B-B003-D99C6764C3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92362</xdr:colOff>
      <xdr:row>24</xdr:row>
      <xdr:rowOff>219363</xdr:rowOff>
    </xdr:from>
    <xdr:to>
      <xdr:col>17</xdr:col>
      <xdr:colOff>207817</xdr:colOff>
      <xdr:row>25</xdr:row>
      <xdr:rowOff>207818</xdr:rowOff>
    </xdr:to>
    <xdr:sp macro="" textlink="">
      <xdr:nvSpPr>
        <xdr:cNvPr id="2" name="Seta para Cima 1">
          <a:extLst>
            <a:ext uri="{FF2B5EF4-FFF2-40B4-BE49-F238E27FC236}">
              <a16:creationId xmlns:a16="http://schemas.microsoft.com/office/drawing/2014/main" id="{7581032D-4D1A-6821-D2D4-1EF777D7FFA7}"/>
            </a:ext>
          </a:extLst>
        </xdr:cNvPr>
        <xdr:cNvSpPr/>
      </xdr:nvSpPr>
      <xdr:spPr>
        <a:xfrm flipH="1">
          <a:off x="18230271" y="5934363"/>
          <a:ext cx="115455" cy="207819"/>
        </a:xfrm>
        <a:prstGeom prst="upArrow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92362</xdr:colOff>
      <xdr:row>24</xdr:row>
      <xdr:rowOff>219363</xdr:rowOff>
    </xdr:from>
    <xdr:to>
      <xdr:col>17</xdr:col>
      <xdr:colOff>207817</xdr:colOff>
      <xdr:row>25</xdr:row>
      <xdr:rowOff>207818</xdr:rowOff>
    </xdr:to>
    <xdr:sp macro="" textlink="">
      <xdr:nvSpPr>
        <xdr:cNvPr id="2" name="Seta para Cima 1">
          <a:extLst>
            <a:ext uri="{FF2B5EF4-FFF2-40B4-BE49-F238E27FC236}">
              <a16:creationId xmlns:a16="http://schemas.microsoft.com/office/drawing/2014/main" id="{4D05D8B7-5B66-304C-9C98-2CB080281657}"/>
            </a:ext>
          </a:extLst>
        </xdr:cNvPr>
        <xdr:cNvSpPr/>
      </xdr:nvSpPr>
      <xdr:spPr>
        <a:xfrm flipH="1">
          <a:off x="18164462" y="5832763"/>
          <a:ext cx="115455" cy="204355"/>
        </a:xfrm>
        <a:prstGeom prst="upArrow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92362</xdr:colOff>
      <xdr:row>24</xdr:row>
      <xdr:rowOff>219363</xdr:rowOff>
    </xdr:from>
    <xdr:to>
      <xdr:col>17</xdr:col>
      <xdr:colOff>207817</xdr:colOff>
      <xdr:row>25</xdr:row>
      <xdr:rowOff>207818</xdr:rowOff>
    </xdr:to>
    <xdr:sp macro="" textlink="">
      <xdr:nvSpPr>
        <xdr:cNvPr id="2" name="Seta para Cima 1">
          <a:extLst>
            <a:ext uri="{FF2B5EF4-FFF2-40B4-BE49-F238E27FC236}">
              <a16:creationId xmlns:a16="http://schemas.microsoft.com/office/drawing/2014/main" id="{25A2F17E-2CE1-AA47-BDF6-2D8A79D41883}"/>
            </a:ext>
          </a:extLst>
        </xdr:cNvPr>
        <xdr:cNvSpPr/>
      </xdr:nvSpPr>
      <xdr:spPr>
        <a:xfrm flipH="1">
          <a:off x="18431162" y="5921663"/>
          <a:ext cx="115455" cy="217055"/>
        </a:xfrm>
        <a:prstGeom prst="upArrow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158750</xdr:colOff>
      <xdr:row>0</xdr:row>
      <xdr:rowOff>177800</xdr:rowOff>
    </xdr:from>
    <xdr:to>
      <xdr:col>20</xdr:col>
      <xdr:colOff>203200</xdr:colOff>
      <xdr:row>39</xdr:row>
      <xdr:rowOff>190500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3E5C5D4-60DB-A544-1B97-51B3464960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marcaodocarhauler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7A032-8E8B-F341-9508-6C31570D7C5C}">
  <dimension ref="B3:AJ83"/>
  <sheetViews>
    <sheetView topLeftCell="A21" zoomScale="110" zoomScaleNormal="110" workbookViewId="0">
      <selection activeCell="L41" sqref="L41"/>
    </sheetView>
  </sheetViews>
  <sheetFormatPr baseColWidth="10" defaultRowHeight="16" x14ac:dyDescent="0.2"/>
  <cols>
    <col min="2" max="2" width="45.83203125" bestFit="1" customWidth="1"/>
    <col min="4" max="4" width="12" bestFit="1" customWidth="1"/>
    <col min="6" max="6" width="14.33203125" bestFit="1" customWidth="1"/>
    <col min="7" max="7" width="11" bestFit="1" customWidth="1"/>
    <col min="10" max="10" width="13.83203125" bestFit="1" customWidth="1"/>
    <col min="12" max="12" width="15.33203125" bestFit="1" customWidth="1"/>
    <col min="13" max="13" width="16.5" bestFit="1" customWidth="1"/>
    <col min="18" max="18" width="19.83203125" customWidth="1"/>
    <col min="19" max="19" width="18" customWidth="1"/>
    <col min="26" max="26" width="12.33203125" bestFit="1" customWidth="1"/>
    <col min="27" max="27" width="6.5" bestFit="1" customWidth="1"/>
    <col min="28" max="28" width="9.5" bestFit="1" customWidth="1"/>
    <col min="29" max="29" width="15" bestFit="1" customWidth="1"/>
    <col min="30" max="30" width="51.83203125" bestFit="1" customWidth="1"/>
    <col min="31" max="31" width="16.6640625" bestFit="1" customWidth="1"/>
    <col min="32" max="32" width="63.5" bestFit="1" customWidth="1"/>
    <col min="33" max="33" width="7.6640625" bestFit="1" customWidth="1"/>
    <col min="34" max="34" width="9" bestFit="1" customWidth="1"/>
    <col min="35" max="35" width="9.5" bestFit="1" customWidth="1"/>
  </cols>
  <sheetData>
    <row r="3" spans="2:26" x14ac:dyDescent="0.2">
      <c r="B3" t="s">
        <v>42</v>
      </c>
    </row>
    <row r="8" spans="2:26" x14ac:dyDescent="0.2">
      <c r="B8" t="s">
        <v>0</v>
      </c>
      <c r="C8">
        <v>62108.1</v>
      </c>
      <c r="D8" t="s">
        <v>1</v>
      </c>
    </row>
    <row r="9" spans="2:26" ht="17" thickBot="1" x14ac:dyDescent="0.25"/>
    <row r="10" spans="2:26" ht="17" thickBot="1" x14ac:dyDescent="0.25">
      <c r="N10" s="4" t="s">
        <v>18</v>
      </c>
      <c r="O10" s="5"/>
      <c r="P10" s="6"/>
      <c r="Q10" s="7">
        <v>67327.100000000006</v>
      </c>
    </row>
    <row r="12" spans="2:26" ht="17" thickBot="1" x14ac:dyDescent="0.25"/>
    <row r="13" spans="2:26" ht="69" customHeight="1" thickBot="1" x14ac:dyDescent="0.25">
      <c r="M13" s="8" t="s">
        <v>17</v>
      </c>
      <c r="N13" s="9" t="s">
        <v>16</v>
      </c>
      <c r="O13" s="9" t="s">
        <v>13</v>
      </c>
      <c r="P13" s="9" t="s">
        <v>14</v>
      </c>
      <c r="Q13" s="9" t="s">
        <v>41</v>
      </c>
      <c r="R13" s="10" t="s">
        <v>21</v>
      </c>
      <c r="S13" s="10" t="s">
        <v>19</v>
      </c>
      <c r="T13" s="11" t="s">
        <v>15</v>
      </c>
    </row>
    <row r="14" spans="2:26" x14ac:dyDescent="0.2">
      <c r="B14" s="18" t="s">
        <v>2</v>
      </c>
      <c r="C14" s="19" t="s">
        <v>3</v>
      </c>
      <c r="D14" s="19" t="s">
        <v>4</v>
      </c>
      <c r="E14" s="19" t="s">
        <v>5</v>
      </c>
      <c r="F14" s="19" t="s">
        <v>6</v>
      </c>
      <c r="G14" s="19" t="s">
        <v>8</v>
      </c>
      <c r="H14" s="147" t="s">
        <v>7</v>
      </c>
      <c r="I14" s="147"/>
      <c r="J14" s="20" t="s">
        <v>9</v>
      </c>
      <c r="L14" s="12" t="s">
        <v>11</v>
      </c>
      <c r="M14" s="43" t="s">
        <v>51</v>
      </c>
      <c r="N14" s="44" t="s">
        <v>58</v>
      </c>
      <c r="O14" s="45">
        <v>141.44</v>
      </c>
      <c r="P14" s="54">
        <v>38</v>
      </c>
      <c r="Q14" s="56">
        <f>O14/P14</f>
        <v>3.7221052631578946</v>
      </c>
      <c r="R14" s="57">
        <v>67733.3</v>
      </c>
      <c r="S14" s="57">
        <f>R14-Q10</f>
        <v>406.19999999999709</v>
      </c>
      <c r="T14" s="59">
        <f>S14/P14</f>
        <v>10.68947368421045</v>
      </c>
      <c r="U14" s="41"/>
      <c r="V14" s="41"/>
      <c r="W14" s="41"/>
      <c r="X14" s="41"/>
      <c r="Y14" s="41"/>
      <c r="Z14" s="41"/>
    </row>
    <row r="15" spans="2:26" x14ac:dyDescent="0.2">
      <c r="B15" s="35" t="s">
        <v>56</v>
      </c>
      <c r="C15" s="36">
        <v>46056</v>
      </c>
      <c r="D15" s="36">
        <v>46057</v>
      </c>
      <c r="E15" s="63">
        <v>245</v>
      </c>
      <c r="F15" s="37" t="s">
        <v>43</v>
      </c>
      <c r="G15" s="38">
        <v>5</v>
      </c>
      <c r="H15" s="145">
        <v>46064</v>
      </c>
      <c r="I15" s="146"/>
      <c r="J15" s="58" t="s">
        <v>63</v>
      </c>
      <c r="L15" s="13" t="s">
        <v>12</v>
      </c>
      <c r="M15" s="35" t="s">
        <v>60</v>
      </c>
      <c r="N15" s="37" t="s">
        <v>59</v>
      </c>
      <c r="O15" s="16">
        <v>100</v>
      </c>
      <c r="P15" s="37">
        <v>30.31</v>
      </c>
      <c r="Q15" s="16">
        <f>O15/P15</f>
        <v>3.2992411745298584</v>
      </c>
      <c r="R15" s="37">
        <v>68026.100000000006</v>
      </c>
      <c r="S15" s="37">
        <f>R15-R14</f>
        <v>292.80000000000291</v>
      </c>
      <c r="T15" s="40">
        <f>S15/P15</f>
        <v>9.6601781590235216</v>
      </c>
    </row>
    <row r="16" spans="2:26" ht="17" thickBot="1" x14ac:dyDescent="0.25">
      <c r="B16" s="35" t="s">
        <v>55</v>
      </c>
      <c r="C16" s="36">
        <v>46056</v>
      </c>
      <c r="D16" s="36">
        <v>46057</v>
      </c>
      <c r="E16" s="16">
        <v>300</v>
      </c>
      <c r="F16" s="37" t="s">
        <v>48</v>
      </c>
      <c r="G16" s="38" t="s">
        <v>10</v>
      </c>
      <c r="H16" s="145">
        <v>46057</v>
      </c>
      <c r="I16" s="146"/>
      <c r="J16" s="58" t="s">
        <v>63</v>
      </c>
      <c r="L16" s="13" t="s">
        <v>20</v>
      </c>
      <c r="M16" s="35" t="s">
        <v>61</v>
      </c>
      <c r="N16" s="37" t="s">
        <v>62</v>
      </c>
      <c r="O16" s="16">
        <v>160.76</v>
      </c>
      <c r="P16" s="46">
        <v>46.09</v>
      </c>
      <c r="Q16" s="16">
        <f>O16/P16</f>
        <v>3.4879583423736165</v>
      </c>
      <c r="R16" s="67"/>
      <c r="S16" s="67"/>
      <c r="T16" s="68"/>
      <c r="U16" t="s">
        <v>81</v>
      </c>
      <c r="Y16" s="41"/>
      <c r="Z16" s="41"/>
    </row>
    <row r="17" spans="2:36" ht="17" thickBot="1" x14ac:dyDescent="0.25">
      <c r="B17" s="35" t="s">
        <v>54</v>
      </c>
      <c r="C17" s="36">
        <v>46056</v>
      </c>
      <c r="D17" s="36">
        <v>46058</v>
      </c>
      <c r="E17" s="16">
        <v>650</v>
      </c>
      <c r="F17" s="37" t="s">
        <v>48</v>
      </c>
      <c r="G17" s="38" t="s">
        <v>10</v>
      </c>
      <c r="H17" s="145">
        <v>46058</v>
      </c>
      <c r="I17" s="146"/>
      <c r="J17" s="58" t="s">
        <v>63</v>
      </c>
      <c r="L17" s="13" t="s">
        <v>22</v>
      </c>
      <c r="M17" s="35" t="s">
        <v>80</v>
      </c>
      <c r="N17" s="37" t="s">
        <v>62</v>
      </c>
      <c r="O17" s="16">
        <v>228.75</v>
      </c>
      <c r="P17" s="46">
        <v>60.96</v>
      </c>
      <c r="Q17" s="16">
        <f>O17/P17</f>
        <v>3.7524606299212597</v>
      </c>
      <c r="R17" s="38">
        <v>68633.399999999994</v>
      </c>
      <c r="S17" s="37">
        <f>R17-R15</f>
        <v>607.29999999998836</v>
      </c>
      <c r="T17" s="40">
        <f>S17/P17</f>
        <v>9.9622703412071587</v>
      </c>
      <c r="Z17" s="105" t="s">
        <v>68</v>
      </c>
      <c r="AA17" s="100" t="s">
        <v>143</v>
      </c>
      <c r="AB17" s="100" t="s">
        <v>28</v>
      </c>
      <c r="AC17" s="100" t="s">
        <v>142</v>
      </c>
      <c r="AD17" s="64" t="s">
        <v>3</v>
      </c>
      <c r="AE17" s="64" t="s">
        <v>147</v>
      </c>
      <c r="AF17" s="64" t="s">
        <v>141</v>
      </c>
      <c r="AG17" s="64" t="s">
        <v>69</v>
      </c>
      <c r="AH17" s="64" t="s">
        <v>5</v>
      </c>
      <c r="AI17" s="64" t="s">
        <v>70</v>
      </c>
      <c r="AJ17" s="65" t="s">
        <v>153</v>
      </c>
    </row>
    <row r="18" spans="2:36" x14ac:dyDescent="0.2">
      <c r="B18" s="35" t="s">
        <v>53</v>
      </c>
      <c r="C18" s="36">
        <v>46057</v>
      </c>
      <c r="D18" s="36">
        <v>46059</v>
      </c>
      <c r="E18" s="63">
        <v>850</v>
      </c>
      <c r="F18" s="37" t="s">
        <v>49</v>
      </c>
      <c r="G18" s="38">
        <v>3</v>
      </c>
      <c r="H18" s="145">
        <f>WORKDAY(D18,G18)</f>
        <v>46064</v>
      </c>
      <c r="I18" s="146"/>
      <c r="J18" s="58" t="s">
        <v>63</v>
      </c>
      <c r="L18" s="13" t="s">
        <v>103</v>
      </c>
      <c r="M18" s="35" t="s">
        <v>102</v>
      </c>
      <c r="N18" s="37" t="s">
        <v>101</v>
      </c>
      <c r="O18" s="16">
        <v>223.12</v>
      </c>
      <c r="P18" s="46">
        <v>60.95</v>
      </c>
      <c r="Q18" s="16">
        <f>O18/P18</f>
        <v>3.6607054963084495</v>
      </c>
      <c r="R18" s="38">
        <v>69318.399999999994</v>
      </c>
      <c r="S18" s="37">
        <f>R18-R17</f>
        <v>685</v>
      </c>
      <c r="T18" s="40">
        <f>S18/P18</f>
        <v>11.238720262510254</v>
      </c>
      <c r="Z18" s="114" t="s">
        <v>56</v>
      </c>
      <c r="AA18" s="110">
        <v>46054</v>
      </c>
      <c r="AB18" s="111" t="s">
        <v>145</v>
      </c>
      <c r="AC18" s="111" t="s">
        <v>146</v>
      </c>
      <c r="AD18" s="78" t="s">
        <v>71</v>
      </c>
      <c r="AE18" s="112" t="s">
        <v>146</v>
      </c>
      <c r="AF18" s="78" t="s">
        <v>72</v>
      </c>
      <c r="AG18" s="78">
        <v>272</v>
      </c>
      <c r="AH18" s="80">
        <v>212.5</v>
      </c>
      <c r="AI18" s="80">
        <f>AH18/AG18</f>
        <v>0.78125</v>
      </c>
      <c r="AJ18" s="113" t="s">
        <v>154</v>
      </c>
    </row>
    <row r="19" spans="2:36" x14ac:dyDescent="0.2">
      <c r="B19" s="35" t="s">
        <v>52</v>
      </c>
      <c r="C19" s="36">
        <v>46057</v>
      </c>
      <c r="D19" s="36">
        <v>46058</v>
      </c>
      <c r="E19" s="71">
        <v>600</v>
      </c>
      <c r="F19" s="37" t="s">
        <v>88</v>
      </c>
      <c r="G19" s="38" t="s">
        <v>10</v>
      </c>
      <c r="H19" s="145">
        <v>46059</v>
      </c>
      <c r="I19" s="146"/>
      <c r="J19" s="58" t="s">
        <v>63</v>
      </c>
      <c r="L19" s="13" t="s">
        <v>23</v>
      </c>
      <c r="M19" s="35"/>
      <c r="N19" s="37"/>
      <c r="O19" s="16"/>
      <c r="P19" s="46"/>
      <c r="Q19" s="16"/>
      <c r="R19" s="38"/>
      <c r="S19" s="38"/>
      <c r="T19" s="47"/>
      <c r="Z19" s="35" t="s">
        <v>55</v>
      </c>
      <c r="AA19" s="107">
        <v>46054</v>
      </c>
      <c r="AB19" s="38" t="s">
        <v>145</v>
      </c>
      <c r="AC19" s="38" t="s">
        <v>146</v>
      </c>
      <c r="AD19" s="2" t="s">
        <v>73</v>
      </c>
      <c r="AE19" s="101" t="s">
        <v>149</v>
      </c>
      <c r="AF19" s="2" t="s">
        <v>74</v>
      </c>
      <c r="AG19" s="2">
        <v>280</v>
      </c>
      <c r="AH19" s="3">
        <v>300</v>
      </c>
      <c r="AI19" s="3">
        <f>AH19/AG19</f>
        <v>1.0714285714285714</v>
      </c>
      <c r="AJ19" s="40" t="s">
        <v>88</v>
      </c>
    </row>
    <row r="20" spans="2:36" x14ac:dyDescent="0.2">
      <c r="B20" s="35" t="s">
        <v>82</v>
      </c>
      <c r="C20" s="36">
        <v>46058</v>
      </c>
      <c r="D20" s="36">
        <v>46059</v>
      </c>
      <c r="E20" s="63">
        <v>250</v>
      </c>
      <c r="F20" s="37" t="s">
        <v>49</v>
      </c>
      <c r="G20" s="38">
        <v>3</v>
      </c>
      <c r="H20" s="145">
        <f>WORKDAY(D20,G20)</f>
        <v>46064</v>
      </c>
      <c r="I20" s="146"/>
      <c r="J20" s="53" t="s">
        <v>50</v>
      </c>
      <c r="L20" s="13" t="s">
        <v>24</v>
      </c>
      <c r="M20" s="35"/>
      <c r="N20" s="37"/>
      <c r="O20" s="16"/>
      <c r="P20" s="46"/>
      <c r="Q20" s="16"/>
      <c r="R20" s="38"/>
      <c r="S20" s="38"/>
      <c r="T20" s="47"/>
      <c r="Z20" s="35" t="s">
        <v>54</v>
      </c>
      <c r="AA20" s="107">
        <v>46054</v>
      </c>
      <c r="AB20" s="38" t="s">
        <v>145</v>
      </c>
      <c r="AC20" s="38" t="s">
        <v>146</v>
      </c>
      <c r="AD20" s="2" t="s">
        <v>144</v>
      </c>
      <c r="AE20" s="101" t="s">
        <v>150</v>
      </c>
      <c r="AF20" s="2" t="s">
        <v>75</v>
      </c>
      <c r="AG20" s="2">
        <v>817</v>
      </c>
      <c r="AH20" s="3">
        <v>650</v>
      </c>
      <c r="AI20" s="3">
        <f t="shared" ref="AI20:AI24" si="0">AH20/AG20</f>
        <v>0.79559363525091797</v>
      </c>
      <c r="AJ20" s="40" t="s">
        <v>88</v>
      </c>
    </row>
    <row r="21" spans="2:36" x14ac:dyDescent="0.2">
      <c r="B21" s="35" t="s">
        <v>93</v>
      </c>
      <c r="C21" s="36">
        <v>46059</v>
      </c>
      <c r="D21" s="36">
        <v>46062</v>
      </c>
      <c r="E21" s="16">
        <v>700</v>
      </c>
      <c r="F21" s="37" t="s">
        <v>88</v>
      </c>
      <c r="G21" s="38" t="s">
        <v>10</v>
      </c>
      <c r="H21" s="145">
        <v>46062</v>
      </c>
      <c r="I21" s="146"/>
      <c r="J21" s="58" t="s">
        <v>63</v>
      </c>
      <c r="L21" s="13" t="s">
        <v>25</v>
      </c>
      <c r="M21" s="35"/>
      <c r="N21" s="37"/>
      <c r="O21" s="16"/>
      <c r="P21" s="46"/>
      <c r="Q21" s="16"/>
      <c r="R21" s="38"/>
      <c r="S21" s="38"/>
      <c r="T21" s="47"/>
      <c r="Z21" s="35" t="s">
        <v>53</v>
      </c>
      <c r="AA21" s="107">
        <v>46054</v>
      </c>
      <c r="AB21" s="38" t="s">
        <v>145</v>
      </c>
      <c r="AC21" s="38" t="s">
        <v>146</v>
      </c>
      <c r="AD21" s="2" t="s">
        <v>76</v>
      </c>
      <c r="AE21" s="101" t="s">
        <v>151</v>
      </c>
      <c r="AF21" s="2" t="s">
        <v>77</v>
      </c>
      <c r="AG21" s="2">
        <v>1087</v>
      </c>
      <c r="AH21" s="3">
        <v>850</v>
      </c>
      <c r="AI21" s="3">
        <f t="shared" si="0"/>
        <v>0.78196872125114991</v>
      </c>
      <c r="AJ21" s="40" t="s">
        <v>154</v>
      </c>
    </row>
    <row r="22" spans="2:36" ht="16" customHeight="1" x14ac:dyDescent="0.2">
      <c r="B22" s="35" t="s">
        <v>95</v>
      </c>
      <c r="C22" s="36">
        <v>46060</v>
      </c>
      <c r="D22" s="36">
        <v>46062</v>
      </c>
      <c r="E22" s="16">
        <v>550</v>
      </c>
      <c r="F22" s="37" t="s">
        <v>126</v>
      </c>
      <c r="G22" s="38" t="s">
        <v>10</v>
      </c>
      <c r="H22" s="145">
        <v>46062</v>
      </c>
      <c r="I22" s="146"/>
      <c r="J22" s="58" t="s">
        <v>63</v>
      </c>
      <c r="L22" s="13" t="s">
        <v>99</v>
      </c>
      <c r="M22" s="72" t="s">
        <v>100</v>
      </c>
      <c r="N22" s="73" t="s">
        <v>101</v>
      </c>
      <c r="O22" s="74">
        <v>23.2</v>
      </c>
      <c r="P22" s="75">
        <v>4.74</v>
      </c>
      <c r="Q22" s="74">
        <f>O22/P22</f>
        <v>4.8945147679324892</v>
      </c>
      <c r="R22" s="76"/>
      <c r="S22" s="76"/>
      <c r="T22" s="77"/>
      <c r="Z22" s="35" t="s">
        <v>52</v>
      </c>
      <c r="AA22" s="107">
        <v>46054</v>
      </c>
      <c r="AB22" s="38" t="s">
        <v>145</v>
      </c>
      <c r="AC22" s="38" t="s">
        <v>149</v>
      </c>
      <c r="AD22" s="2" t="s">
        <v>148</v>
      </c>
      <c r="AE22" s="101" t="s">
        <v>152</v>
      </c>
      <c r="AF22" s="2" t="s">
        <v>78</v>
      </c>
      <c r="AG22" s="2">
        <v>952</v>
      </c>
      <c r="AH22" s="3">
        <v>600</v>
      </c>
      <c r="AI22" s="3">
        <f t="shared" si="0"/>
        <v>0.63025210084033612</v>
      </c>
      <c r="AJ22" s="40" t="s">
        <v>88</v>
      </c>
    </row>
    <row r="23" spans="2:36" ht="17" thickBot="1" x14ac:dyDescent="0.25">
      <c r="B23" s="35"/>
      <c r="C23" s="36"/>
      <c r="D23" s="37"/>
      <c r="E23" s="16"/>
      <c r="F23" s="37"/>
      <c r="G23" s="38"/>
      <c r="H23" s="146"/>
      <c r="I23" s="146"/>
      <c r="J23" s="40"/>
      <c r="L23" s="28" t="s">
        <v>26</v>
      </c>
      <c r="M23" s="48"/>
      <c r="N23" s="49"/>
      <c r="O23" s="29"/>
      <c r="P23" s="50"/>
      <c r="Q23" s="29"/>
      <c r="R23" s="51"/>
      <c r="S23" s="51"/>
      <c r="T23" s="52"/>
      <c r="Z23" s="35" t="s">
        <v>83</v>
      </c>
      <c r="AA23" s="107">
        <v>46054</v>
      </c>
      <c r="AB23" s="38" t="s">
        <v>145</v>
      </c>
      <c r="AC23" s="38" t="s">
        <v>150</v>
      </c>
      <c r="AD23" s="2" t="s">
        <v>84</v>
      </c>
      <c r="AE23" s="101" t="s">
        <v>151</v>
      </c>
      <c r="AF23" s="2" t="s">
        <v>85</v>
      </c>
      <c r="AG23" s="2">
        <v>241</v>
      </c>
      <c r="AH23" s="3">
        <v>250</v>
      </c>
      <c r="AI23" s="3">
        <f t="shared" si="0"/>
        <v>1.0373443983402491</v>
      </c>
      <c r="AJ23" s="40" t="s">
        <v>154</v>
      </c>
    </row>
    <row r="24" spans="2:36" ht="17" customHeight="1" thickBot="1" x14ac:dyDescent="0.25">
      <c r="B24" s="35"/>
      <c r="C24" s="36"/>
      <c r="D24" s="37"/>
      <c r="E24" s="16"/>
      <c r="F24" s="37"/>
      <c r="G24" s="38"/>
      <c r="H24" s="146"/>
      <c r="I24" s="146"/>
      <c r="J24" s="40"/>
      <c r="O24" s="27">
        <f>SUM(O14:O23)</f>
        <v>877.2700000000001</v>
      </c>
      <c r="Z24" s="35" t="s">
        <v>92</v>
      </c>
      <c r="AA24" s="107">
        <v>46054</v>
      </c>
      <c r="AB24" s="38" t="s">
        <v>145</v>
      </c>
      <c r="AC24" s="38" t="s">
        <v>151</v>
      </c>
      <c r="AD24" s="106" t="s">
        <v>90</v>
      </c>
      <c r="AE24" s="101" t="s">
        <v>146</v>
      </c>
      <c r="AF24" s="106" t="s">
        <v>91</v>
      </c>
      <c r="AG24" s="2">
        <v>942</v>
      </c>
      <c r="AH24" s="3">
        <v>700</v>
      </c>
      <c r="AI24" s="3">
        <f t="shared" si="0"/>
        <v>0.74309978768577489</v>
      </c>
      <c r="AJ24" s="40" t="s">
        <v>88</v>
      </c>
    </row>
    <row r="25" spans="2:36" ht="17" customHeight="1" thickBot="1" x14ac:dyDescent="0.25">
      <c r="B25" s="21"/>
      <c r="C25" s="41"/>
      <c r="D25" s="41"/>
      <c r="E25" s="16">
        <f>SUM(E15:E24)</f>
        <v>4145</v>
      </c>
      <c r="F25" s="41"/>
      <c r="G25" s="41"/>
      <c r="H25" s="41"/>
      <c r="I25" s="41"/>
      <c r="J25" s="42"/>
      <c r="Z25" s="35" t="s">
        <v>96</v>
      </c>
      <c r="AA25" s="107">
        <v>46054</v>
      </c>
      <c r="AB25" s="38" t="s">
        <v>145</v>
      </c>
      <c r="AC25" s="38" t="s">
        <v>151</v>
      </c>
      <c r="AD25" s="106" t="s">
        <v>98</v>
      </c>
      <c r="AE25" s="101" t="s">
        <v>146</v>
      </c>
      <c r="AF25" s="106" t="s">
        <v>97</v>
      </c>
      <c r="AG25" s="2">
        <v>934</v>
      </c>
      <c r="AH25" s="3">
        <v>550</v>
      </c>
      <c r="AI25" s="3">
        <f>AH25/AG25</f>
        <v>0.58886509635974305</v>
      </c>
      <c r="AJ25" s="40" t="s">
        <v>88</v>
      </c>
    </row>
    <row r="26" spans="2:36" ht="17" thickBot="1" x14ac:dyDescent="0.25">
      <c r="B26" s="32" t="s">
        <v>44</v>
      </c>
      <c r="C26" s="41"/>
      <c r="D26" s="41"/>
      <c r="E26" s="41"/>
      <c r="F26" s="41"/>
      <c r="G26" s="41"/>
      <c r="H26" s="41"/>
      <c r="I26" s="41"/>
      <c r="J26" s="42"/>
      <c r="M26" s="151" t="s">
        <v>86</v>
      </c>
      <c r="N26" s="152"/>
      <c r="O26" s="153"/>
      <c r="P26" s="69">
        <f>SUM(O14:O21)/SUM(P14:P21)</f>
        <v>3.6141932207693288</v>
      </c>
      <c r="Q26" s="26">
        <f>P26/P28 -1</f>
        <v>9.5210066899796608E-2</v>
      </c>
      <c r="Z26" s="35"/>
      <c r="AA26" s="38"/>
      <c r="AB26" s="38"/>
      <c r="AC26" s="38"/>
      <c r="AD26" s="2"/>
      <c r="AE26" s="2"/>
      <c r="AF26" s="2"/>
      <c r="AG26" s="2"/>
      <c r="AH26" s="2"/>
      <c r="AI26" s="2"/>
      <c r="AJ26" s="15"/>
    </row>
    <row r="27" spans="2:36" ht="17" thickBot="1" x14ac:dyDescent="0.25">
      <c r="B27" s="32" t="s">
        <v>47</v>
      </c>
      <c r="C27" s="41"/>
      <c r="D27" s="41"/>
      <c r="E27" s="41"/>
      <c r="F27" s="41"/>
      <c r="G27" s="41"/>
      <c r="H27" s="41"/>
      <c r="I27" s="41"/>
      <c r="J27" s="42"/>
      <c r="Z27" s="48"/>
      <c r="AA27" s="51"/>
      <c r="AB27" s="51"/>
      <c r="AC27" s="51"/>
      <c r="AD27" s="66"/>
      <c r="AE27" s="66"/>
      <c r="AF27" s="66"/>
      <c r="AG27" s="66"/>
      <c r="AH27" s="66"/>
      <c r="AI27" s="108"/>
      <c r="AJ27" s="109"/>
    </row>
    <row r="28" spans="2:36" ht="17" thickBot="1" x14ac:dyDescent="0.25">
      <c r="B28" s="32" t="s">
        <v>94</v>
      </c>
      <c r="C28" s="41"/>
      <c r="D28" s="41"/>
      <c r="E28" s="41"/>
      <c r="F28" s="41"/>
      <c r="G28" s="41"/>
      <c r="H28" s="41"/>
      <c r="I28" s="41"/>
      <c r="J28" s="42"/>
      <c r="M28" s="151" t="s">
        <v>87</v>
      </c>
      <c r="N28" s="152"/>
      <c r="O28" s="153"/>
      <c r="P28" s="70">
        <v>3.3</v>
      </c>
      <c r="AH28" t="s">
        <v>79</v>
      </c>
      <c r="AI28" s="1">
        <f>SUM(AH18:AH27)/SUM(AG18:AG27)</f>
        <v>0.74434389140271495</v>
      </c>
    </row>
    <row r="29" spans="2:36" x14ac:dyDescent="0.2">
      <c r="B29" s="32" t="s">
        <v>104</v>
      </c>
      <c r="C29" s="41"/>
      <c r="D29" s="41"/>
      <c r="E29" s="41"/>
      <c r="F29" s="41"/>
      <c r="G29" s="41"/>
      <c r="H29" s="41"/>
      <c r="I29" s="41"/>
      <c r="J29" s="42"/>
    </row>
    <row r="30" spans="2:36" ht="17" thickBot="1" x14ac:dyDescent="0.25">
      <c r="B30" s="32" t="s">
        <v>105</v>
      </c>
      <c r="C30" s="41"/>
      <c r="D30" s="41"/>
      <c r="E30" s="41"/>
      <c r="F30" s="41"/>
      <c r="G30" s="41"/>
      <c r="H30" s="41"/>
      <c r="I30" s="41"/>
      <c r="J30" s="42"/>
    </row>
    <row r="31" spans="2:36" ht="17" thickBot="1" x14ac:dyDescent="0.25">
      <c r="B31" s="33"/>
      <c r="C31" s="34"/>
      <c r="D31" s="34"/>
      <c r="E31" s="41"/>
      <c r="F31" s="41"/>
      <c r="G31" s="41"/>
      <c r="H31" s="41"/>
      <c r="I31" s="41"/>
      <c r="J31" s="42"/>
      <c r="N31" s="4" t="s">
        <v>110</v>
      </c>
      <c r="O31" s="5"/>
      <c r="P31" s="6"/>
      <c r="Q31" s="7">
        <v>69703.600000000006</v>
      </c>
      <c r="R31" t="s">
        <v>111</v>
      </c>
    </row>
    <row r="32" spans="2:36" ht="17" thickBot="1" x14ac:dyDescent="0.25">
      <c r="B32" s="22"/>
      <c r="C32" s="23"/>
      <c r="D32" s="23"/>
      <c r="E32" s="23"/>
      <c r="F32" s="23"/>
      <c r="G32" s="23"/>
      <c r="H32" s="23"/>
      <c r="I32" s="23"/>
      <c r="J32" s="24"/>
    </row>
    <row r="34" spans="2:19" x14ac:dyDescent="0.2">
      <c r="C34" t="s">
        <v>28</v>
      </c>
      <c r="D34" t="s">
        <v>29</v>
      </c>
      <c r="E34" t="s">
        <v>5</v>
      </c>
    </row>
    <row r="35" spans="2:19" x14ac:dyDescent="0.2">
      <c r="B35" t="s">
        <v>27</v>
      </c>
      <c r="C35" s="1">
        <f>E25</f>
        <v>4145</v>
      </c>
      <c r="D35" s="17">
        <v>0.12</v>
      </c>
      <c r="E35" s="102">
        <f>C35*D35</f>
        <v>497.4</v>
      </c>
    </row>
    <row r="36" spans="2:19" x14ac:dyDescent="0.2">
      <c r="B36" t="s">
        <v>45</v>
      </c>
      <c r="C36" s="1">
        <f>E25</f>
        <v>4145</v>
      </c>
      <c r="D36" s="17">
        <v>0.3</v>
      </c>
      <c r="E36" s="60">
        <f>C36*D36</f>
        <v>1243.5</v>
      </c>
      <c r="H36" t="s">
        <v>67</v>
      </c>
      <c r="K36" s="62">
        <f>E15+E18+E20</f>
        <v>1345</v>
      </c>
    </row>
    <row r="37" spans="2:19" x14ac:dyDescent="0.2">
      <c r="H37" t="s">
        <v>66</v>
      </c>
      <c r="K37" s="103">
        <f>E35</f>
        <v>497.4</v>
      </c>
    </row>
    <row r="38" spans="2:19" x14ac:dyDescent="0.2">
      <c r="H38" t="s">
        <v>125</v>
      </c>
      <c r="K38" s="1">
        <f>C44</f>
        <v>250</v>
      </c>
    </row>
    <row r="39" spans="2:19" x14ac:dyDescent="0.2">
      <c r="H39" t="s">
        <v>137</v>
      </c>
      <c r="K39" s="1">
        <v>50</v>
      </c>
    </row>
    <row r="40" spans="2:19" x14ac:dyDescent="0.2">
      <c r="B40" t="s">
        <v>31</v>
      </c>
      <c r="C40" t="s">
        <v>5</v>
      </c>
      <c r="I40" t="s">
        <v>40</v>
      </c>
      <c r="K40" s="104">
        <f>K37+K38+K39-K36</f>
        <v>-547.6</v>
      </c>
    </row>
    <row r="41" spans="2:19" x14ac:dyDescent="0.2">
      <c r="B41" t="s">
        <v>33</v>
      </c>
      <c r="C41" s="1">
        <f>E35</f>
        <v>497.4</v>
      </c>
      <c r="D41" s="25" t="s">
        <v>10</v>
      </c>
      <c r="E41" s="26">
        <f>C41/$E$25</f>
        <v>0.12</v>
      </c>
      <c r="H41" t="s">
        <v>138</v>
      </c>
      <c r="K41" s="1">
        <v>250</v>
      </c>
      <c r="L41" s="53" t="s">
        <v>50</v>
      </c>
    </row>
    <row r="42" spans="2:19" x14ac:dyDescent="0.2">
      <c r="B42" t="s">
        <v>45</v>
      </c>
      <c r="C42" s="1">
        <f>E36</f>
        <v>1243.5</v>
      </c>
      <c r="D42" s="25" t="s">
        <v>10</v>
      </c>
      <c r="E42" s="26">
        <f>C42/$E$25</f>
        <v>0.3</v>
      </c>
      <c r="K42" s="104">
        <f>K40+K41</f>
        <v>-297.60000000000002</v>
      </c>
      <c r="L42" s="58" t="s">
        <v>63</v>
      </c>
    </row>
    <row r="43" spans="2:19" x14ac:dyDescent="0.2">
      <c r="B43" t="s">
        <v>32</v>
      </c>
      <c r="C43" s="1">
        <f>O24</f>
        <v>877.2700000000001</v>
      </c>
      <c r="D43" s="25" t="s">
        <v>10</v>
      </c>
      <c r="E43" s="26">
        <f>C43/$E$25</f>
        <v>0.21164535585042221</v>
      </c>
    </row>
    <row r="44" spans="2:19" x14ac:dyDescent="0.2">
      <c r="B44" t="s">
        <v>30</v>
      </c>
      <c r="C44" s="1">
        <v>250</v>
      </c>
      <c r="D44" s="25" t="s">
        <v>10</v>
      </c>
      <c r="E44" s="26">
        <f>C44/$E$25</f>
        <v>6.0313630880579013E-2</v>
      </c>
    </row>
    <row r="45" spans="2:19" x14ac:dyDescent="0.2">
      <c r="B45" t="s">
        <v>139</v>
      </c>
      <c r="C45" s="1"/>
      <c r="D45" s="1">
        <f>50/4</f>
        <v>12.5</v>
      </c>
      <c r="E45" s="26">
        <f t="shared" ref="E45" si="1">D45/$E$25</f>
        <v>3.0156815440289505E-3</v>
      </c>
      <c r="G45" t="s">
        <v>65</v>
      </c>
      <c r="K45" s="60">
        <f>E36</f>
        <v>1243.5</v>
      </c>
    </row>
    <row r="46" spans="2:19" x14ac:dyDescent="0.2">
      <c r="B46" t="s">
        <v>64</v>
      </c>
      <c r="C46" s="25" t="s">
        <v>10</v>
      </c>
      <c r="D46" s="1">
        <f>153/4</f>
        <v>38.25</v>
      </c>
      <c r="E46" s="26">
        <f t="shared" ref="E46:E51" si="2">D46/$E$25</f>
        <v>9.227985524728588E-3</v>
      </c>
      <c r="G46" t="s">
        <v>57</v>
      </c>
      <c r="K46" s="1">
        <v>-30</v>
      </c>
    </row>
    <row r="47" spans="2:19" ht="17" thickBot="1" x14ac:dyDescent="0.25">
      <c r="B47" t="s">
        <v>46</v>
      </c>
      <c r="C47" s="25" t="s">
        <v>10</v>
      </c>
      <c r="D47" s="1">
        <f>150/4</f>
        <v>37.5</v>
      </c>
      <c r="E47" s="26">
        <f t="shared" si="2"/>
        <v>9.0470446320868522E-3</v>
      </c>
      <c r="G47" t="s">
        <v>118</v>
      </c>
      <c r="K47" s="1">
        <v>20</v>
      </c>
    </row>
    <row r="48" spans="2:19" ht="17" thickBot="1" x14ac:dyDescent="0.25">
      <c r="B48" t="s">
        <v>34</v>
      </c>
      <c r="C48" s="25" t="s">
        <v>10</v>
      </c>
      <c r="D48" s="1">
        <f>183/4</f>
        <v>45.75</v>
      </c>
      <c r="E48" s="26">
        <f t="shared" si="2"/>
        <v>1.103739445114596E-2</v>
      </c>
      <c r="G48" t="s">
        <v>119</v>
      </c>
      <c r="K48" s="1">
        <v>10</v>
      </c>
      <c r="P48" s="4" t="s">
        <v>18</v>
      </c>
      <c r="Q48" s="5"/>
      <c r="R48" s="6"/>
      <c r="S48" s="7">
        <v>67327.100000000006</v>
      </c>
    </row>
    <row r="49" spans="2:20" ht="17" thickBot="1" x14ac:dyDescent="0.25">
      <c r="B49" t="s">
        <v>35</v>
      </c>
      <c r="C49" s="25" t="s">
        <v>10</v>
      </c>
      <c r="D49" s="1">
        <f>1197.66/4</f>
        <v>299.41500000000002</v>
      </c>
      <c r="E49" s="26">
        <f t="shared" si="2"/>
        <v>7.2235223160434264E-2</v>
      </c>
      <c r="G49" t="s">
        <v>89</v>
      </c>
      <c r="K49" s="1">
        <v>-600</v>
      </c>
      <c r="P49" s="4" t="s">
        <v>110</v>
      </c>
      <c r="Q49" s="5"/>
      <c r="R49" s="6"/>
      <c r="S49" s="7">
        <v>69703.600000000006</v>
      </c>
    </row>
    <row r="50" spans="2:20" x14ac:dyDescent="0.2">
      <c r="B50" t="s">
        <v>38</v>
      </c>
      <c r="C50" s="25" t="s">
        <v>10</v>
      </c>
      <c r="D50" s="55">
        <v>100</v>
      </c>
      <c r="E50" s="26">
        <f t="shared" si="2"/>
        <v>2.4125452352231604E-2</v>
      </c>
      <c r="I50" t="s">
        <v>40</v>
      </c>
      <c r="K50" s="1">
        <f>K45+K49+K46+K47+K48</f>
        <v>643.5</v>
      </c>
      <c r="L50" s="58" t="s">
        <v>63</v>
      </c>
      <c r="S50">
        <f>S49-S48</f>
        <v>2376.5</v>
      </c>
      <c r="T50" t="s">
        <v>114</v>
      </c>
    </row>
    <row r="51" spans="2:20" x14ac:dyDescent="0.2">
      <c r="B51" t="s">
        <v>39</v>
      </c>
      <c r="C51" s="25" t="s">
        <v>10</v>
      </c>
      <c r="D51" s="55">
        <v>100</v>
      </c>
      <c r="E51" s="26">
        <f t="shared" si="2"/>
        <v>2.4125452352231604E-2</v>
      </c>
      <c r="S51" s="1">
        <f>E25</f>
        <v>4145</v>
      </c>
      <c r="T51" t="s">
        <v>115</v>
      </c>
    </row>
    <row r="52" spans="2:20" x14ac:dyDescent="0.2">
      <c r="C52" s="1"/>
      <c r="D52" s="1"/>
      <c r="S52" s="1">
        <f>S51/S50</f>
        <v>1.7441615821586367</v>
      </c>
    </row>
    <row r="53" spans="2:20" x14ac:dyDescent="0.2">
      <c r="C53" s="1">
        <f>SUM(C41:C52)</f>
        <v>2868.17</v>
      </c>
      <c r="D53" s="1">
        <f>SUM(D45:D52)</f>
        <v>633.41499999999996</v>
      </c>
      <c r="E53" s="31">
        <f>SUM(E41:E52)</f>
        <v>0.84477322074788919</v>
      </c>
    </row>
    <row r="54" spans="2:20" x14ac:dyDescent="0.2">
      <c r="B54" t="s">
        <v>36</v>
      </c>
      <c r="C54" s="149">
        <f>C53+D53</f>
        <v>3501.585</v>
      </c>
      <c r="D54" s="150"/>
    </row>
    <row r="55" spans="2:20" x14ac:dyDescent="0.2">
      <c r="B55" t="s">
        <v>37</v>
      </c>
      <c r="C55" s="148">
        <f>E25-C54</f>
        <v>643.41499999999996</v>
      </c>
      <c r="D55" s="148"/>
      <c r="E55" s="30">
        <f>C55/E25</f>
        <v>0.15522677925211098</v>
      </c>
    </row>
    <row r="58" spans="2:20" x14ac:dyDescent="0.2">
      <c r="N58" s="148"/>
      <c r="O58" s="148"/>
    </row>
    <row r="64" spans="2:20" ht="17" thickBot="1" x14ac:dyDescent="0.25"/>
    <row r="65" spans="2:10" ht="17" thickBot="1" x14ac:dyDescent="0.25">
      <c r="F65" s="19" t="s">
        <v>6</v>
      </c>
      <c r="G65" s="19" t="s">
        <v>8</v>
      </c>
      <c r="H65" s="147" t="s">
        <v>7</v>
      </c>
      <c r="I65" s="147"/>
      <c r="J65" s="20" t="s">
        <v>9</v>
      </c>
    </row>
    <row r="66" spans="2:10" x14ac:dyDescent="0.2">
      <c r="B66" s="18" t="s">
        <v>2</v>
      </c>
      <c r="C66" s="19" t="s">
        <v>3</v>
      </c>
      <c r="D66" s="19" t="s">
        <v>4</v>
      </c>
      <c r="E66" s="19" t="s">
        <v>5</v>
      </c>
      <c r="F66" s="37" t="s">
        <v>43</v>
      </c>
      <c r="G66" s="38">
        <v>5</v>
      </c>
      <c r="H66" s="145">
        <v>46064</v>
      </c>
      <c r="I66" s="146"/>
      <c r="J66" s="53" t="s">
        <v>50</v>
      </c>
    </row>
    <row r="67" spans="2:10" x14ac:dyDescent="0.2">
      <c r="B67" s="35" t="s">
        <v>56</v>
      </c>
      <c r="C67" s="36">
        <v>46056</v>
      </c>
      <c r="D67" s="36">
        <v>46057</v>
      </c>
      <c r="E67" s="63">
        <v>245</v>
      </c>
      <c r="F67" s="37" t="s">
        <v>48</v>
      </c>
      <c r="G67" s="38" t="s">
        <v>10</v>
      </c>
      <c r="H67" s="145">
        <v>46057</v>
      </c>
      <c r="I67" s="146"/>
      <c r="J67" s="58" t="s">
        <v>63</v>
      </c>
    </row>
    <row r="68" spans="2:10" x14ac:dyDescent="0.2">
      <c r="B68" s="35" t="s">
        <v>55</v>
      </c>
      <c r="C68" s="36">
        <v>46056</v>
      </c>
      <c r="D68" s="36">
        <v>46057</v>
      </c>
      <c r="E68" s="16">
        <v>300</v>
      </c>
      <c r="F68" s="37" t="s">
        <v>48</v>
      </c>
      <c r="G68" s="38" t="s">
        <v>10</v>
      </c>
      <c r="H68" s="145">
        <v>46058</v>
      </c>
      <c r="I68" s="146"/>
      <c r="J68" s="58" t="s">
        <v>63</v>
      </c>
    </row>
    <row r="69" spans="2:10" x14ac:dyDescent="0.2">
      <c r="B69" s="35" t="s">
        <v>54</v>
      </c>
      <c r="C69" s="36">
        <v>46056</v>
      </c>
      <c r="D69" s="36">
        <v>46058</v>
      </c>
      <c r="E69" s="16">
        <v>650</v>
      </c>
      <c r="F69" s="37" t="s">
        <v>49</v>
      </c>
      <c r="G69" s="38">
        <v>3</v>
      </c>
      <c r="H69" s="145">
        <f>WORKDAY(D70,G69)</f>
        <v>46064</v>
      </c>
      <c r="I69" s="146"/>
      <c r="J69" s="53" t="s">
        <v>50</v>
      </c>
    </row>
    <row r="70" spans="2:10" x14ac:dyDescent="0.2">
      <c r="B70" s="35" t="s">
        <v>53</v>
      </c>
      <c r="C70" s="36">
        <v>46057</v>
      </c>
      <c r="D70" s="36">
        <v>46059</v>
      </c>
      <c r="E70" s="63">
        <v>850</v>
      </c>
      <c r="F70" s="37" t="s">
        <v>88</v>
      </c>
      <c r="G70" s="38" t="s">
        <v>10</v>
      </c>
      <c r="H70" s="145">
        <v>46059</v>
      </c>
      <c r="I70" s="146"/>
      <c r="J70" s="58" t="s">
        <v>63</v>
      </c>
    </row>
    <row r="71" spans="2:10" x14ac:dyDescent="0.2">
      <c r="B71" s="35" t="s">
        <v>52</v>
      </c>
      <c r="C71" s="36">
        <v>46057</v>
      </c>
      <c r="D71" s="36">
        <v>46058</v>
      </c>
      <c r="E71" s="71">
        <v>600</v>
      </c>
      <c r="F71" s="37" t="s">
        <v>49</v>
      </c>
      <c r="G71" s="38">
        <v>3</v>
      </c>
      <c r="H71" s="145">
        <f>WORKDAY(D72,G71)</f>
        <v>46064</v>
      </c>
      <c r="I71" s="146"/>
      <c r="J71" s="53" t="s">
        <v>50</v>
      </c>
    </row>
    <row r="72" spans="2:10" x14ac:dyDescent="0.2">
      <c r="B72" s="35" t="s">
        <v>82</v>
      </c>
      <c r="C72" s="36">
        <v>46058</v>
      </c>
      <c r="D72" s="36">
        <v>46059</v>
      </c>
      <c r="E72" s="63">
        <v>250</v>
      </c>
      <c r="F72" s="37" t="s">
        <v>88</v>
      </c>
      <c r="G72" s="38" t="s">
        <v>10</v>
      </c>
      <c r="H72" s="145"/>
      <c r="I72" s="146"/>
      <c r="J72" s="39"/>
    </row>
    <row r="73" spans="2:10" x14ac:dyDescent="0.2">
      <c r="B73" s="35" t="s">
        <v>93</v>
      </c>
      <c r="C73" s="36">
        <v>46059</v>
      </c>
      <c r="D73" s="36"/>
      <c r="E73" s="16">
        <v>700</v>
      </c>
      <c r="F73" s="37" t="s">
        <v>88</v>
      </c>
      <c r="G73" s="38" t="s">
        <v>10</v>
      </c>
      <c r="H73" s="146"/>
      <c r="I73" s="146"/>
      <c r="J73" s="40"/>
    </row>
    <row r="74" spans="2:10" x14ac:dyDescent="0.2">
      <c r="B74" s="35" t="s">
        <v>95</v>
      </c>
      <c r="C74" s="36">
        <v>46060</v>
      </c>
      <c r="D74" s="37"/>
      <c r="E74" s="16">
        <v>550</v>
      </c>
      <c r="F74" s="37"/>
      <c r="G74" s="38"/>
      <c r="H74" s="146"/>
      <c r="I74" s="146"/>
      <c r="J74" s="40"/>
    </row>
    <row r="75" spans="2:10" x14ac:dyDescent="0.2">
      <c r="B75" s="35"/>
      <c r="C75" s="36"/>
      <c r="D75" s="37"/>
      <c r="E75" s="16"/>
      <c r="F75" s="37"/>
      <c r="G75" s="38"/>
      <c r="H75" s="146"/>
      <c r="I75" s="146"/>
      <c r="J75" s="40"/>
    </row>
    <row r="76" spans="2:10" x14ac:dyDescent="0.2">
      <c r="B76" s="35"/>
      <c r="C76" s="36"/>
      <c r="D76" s="37"/>
      <c r="E76" s="16"/>
      <c r="F76" s="41"/>
      <c r="G76" s="41"/>
      <c r="H76" s="41"/>
      <c r="I76" s="41"/>
      <c r="J76" s="42"/>
    </row>
    <row r="77" spans="2:10" x14ac:dyDescent="0.2">
      <c r="B77" s="21"/>
      <c r="C77" s="41"/>
      <c r="D77" s="41"/>
      <c r="E77" s="16">
        <f>SUM(E67:E76)</f>
        <v>4145</v>
      </c>
    </row>
    <row r="78" spans="2:10" x14ac:dyDescent="0.2">
      <c r="C78" s="78" t="s">
        <v>107</v>
      </c>
      <c r="D78" s="79">
        <v>0.3</v>
      </c>
      <c r="E78" s="80">
        <f>E77*D78</f>
        <v>1243.5</v>
      </c>
    </row>
    <row r="79" spans="2:10" x14ac:dyDescent="0.2">
      <c r="B79" s="2" t="s">
        <v>89</v>
      </c>
      <c r="C79" s="2"/>
      <c r="D79" s="2"/>
      <c r="E79" s="3">
        <v>-600</v>
      </c>
    </row>
    <row r="80" spans="2:10" x14ac:dyDescent="0.2">
      <c r="C80" s="143" t="s">
        <v>40</v>
      </c>
      <c r="D80" s="144"/>
      <c r="E80" s="81">
        <f>E78+E79</f>
        <v>643.5</v>
      </c>
    </row>
    <row r="82" spans="3:3" x14ac:dyDescent="0.2">
      <c r="C82" t="s">
        <v>116</v>
      </c>
    </row>
    <row r="83" spans="3:3" x14ac:dyDescent="0.2">
      <c r="C83" s="94" t="s">
        <v>117</v>
      </c>
    </row>
  </sheetData>
  <mergeCells count="28">
    <mergeCell ref="N58:O58"/>
    <mergeCell ref="C54:D54"/>
    <mergeCell ref="C55:D55"/>
    <mergeCell ref="H21:I21"/>
    <mergeCell ref="H22:I22"/>
    <mergeCell ref="H23:I23"/>
    <mergeCell ref="H24:I24"/>
    <mergeCell ref="M26:O26"/>
    <mergeCell ref="M28:O28"/>
    <mergeCell ref="H65:I65"/>
    <mergeCell ref="H66:I66"/>
    <mergeCell ref="H20:I20"/>
    <mergeCell ref="H14:I14"/>
    <mergeCell ref="H15:I15"/>
    <mergeCell ref="H17:I17"/>
    <mergeCell ref="H18:I18"/>
    <mergeCell ref="H19:I19"/>
    <mergeCell ref="H16:I16"/>
    <mergeCell ref="H67:I67"/>
    <mergeCell ref="H68:I68"/>
    <mergeCell ref="H69:I69"/>
    <mergeCell ref="H70:I70"/>
    <mergeCell ref="H71:I71"/>
    <mergeCell ref="C80:D80"/>
    <mergeCell ref="H72:I72"/>
    <mergeCell ref="H73:I73"/>
    <mergeCell ref="H74:I74"/>
    <mergeCell ref="H75:I75"/>
  </mergeCells>
  <hyperlinks>
    <hyperlink ref="C83" r:id="rId1" xr:uid="{D68C3B88-1C5D-2540-AF9E-672A57030EB6}"/>
  </hyperlinks>
  <pageMargins left="0.511811024" right="0.511811024" top="0.78740157499999996" bottom="0.78740157499999996" header="0.31496062000000002" footer="0.31496062000000002"/>
  <pageSetup paperSize="9" orientation="portrait" horizontalDpi="0" verticalDpi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9129B-0FEC-9948-AD84-3F52E2A8E270}">
  <dimension ref="B3:AM60"/>
  <sheetViews>
    <sheetView topLeftCell="A22" zoomScaleNormal="100" workbookViewId="0">
      <selection activeCell="L46" sqref="L46"/>
    </sheetView>
  </sheetViews>
  <sheetFormatPr baseColWidth="10" defaultRowHeight="16" x14ac:dyDescent="0.2"/>
  <cols>
    <col min="2" max="2" width="45.83203125" bestFit="1" customWidth="1"/>
    <col min="4" max="4" width="12" bestFit="1" customWidth="1"/>
    <col min="5" max="5" width="11.33203125" bestFit="1" customWidth="1"/>
    <col min="6" max="6" width="14.33203125" bestFit="1" customWidth="1"/>
    <col min="7" max="7" width="11" bestFit="1" customWidth="1"/>
    <col min="10" max="10" width="13.83203125" bestFit="1" customWidth="1"/>
    <col min="12" max="12" width="15.33203125" bestFit="1" customWidth="1"/>
    <col min="13" max="13" width="16.5" bestFit="1" customWidth="1"/>
    <col min="17" max="17" width="13.83203125" customWidth="1"/>
    <col min="18" max="18" width="19.83203125" customWidth="1"/>
    <col min="19" max="19" width="18" customWidth="1"/>
    <col min="21" max="21" width="13" customWidth="1"/>
    <col min="33" max="33" width="51.83203125" bestFit="1" customWidth="1"/>
    <col min="35" max="35" width="63.5" bestFit="1" customWidth="1"/>
  </cols>
  <sheetData>
    <row r="3" spans="2:26" x14ac:dyDescent="0.2">
      <c r="B3" t="s">
        <v>42</v>
      </c>
    </row>
    <row r="8" spans="2:26" x14ac:dyDescent="0.2">
      <c r="B8" t="s">
        <v>0</v>
      </c>
      <c r="C8">
        <v>62108.1</v>
      </c>
      <c r="D8" t="s">
        <v>1</v>
      </c>
    </row>
    <row r="9" spans="2:26" ht="17" thickBot="1" x14ac:dyDescent="0.25"/>
    <row r="10" spans="2:26" ht="17" thickBot="1" x14ac:dyDescent="0.25">
      <c r="N10" s="4" t="s">
        <v>18</v>
      </c>
      <c r="O10" s="5"/>
      <c r="P10" s="6"/>
      <c r="Q10" s="38">
        <v>69318.399999999994</v>
      </c>
      <c r="R10" t="s">
        <v>112</v>
      </c>
    </row>
    <row r="12" spans="2:26" ht="17" thickBot="1" x14ac:dyDescent="0.25"/>
    <row r="13" spans="2:26" ht="69" customHeight="1" thickBot="1" x14ac:dyDescent="0.25">
      <c r="M13" s="8" t="s">
        <v>17</v>
      </c>
      <c r="N13" s="9" t="s">
        <v>16</v>
      </c>
      <c r="O13" s="9" t="s">
        <v>13</v>
      </c>
      <c r="P13" s="9" t="s">
        <v>14</v>
      </c>
      <c r="Q13" s="9" t="s">
        <v>41</v>
      </c>
      <c r="R13" s="10" t="s">
        <v>21</v>
      </c>
      <c r="S13" s="10" t="s">
        <v>19</v>
      </c>
      <c r="T13" s="11" t="s">
        <v>15</v>
      </c>
    </row>
    <row r="14" spans="2:26" x14ac:dyDescent="0.2">
      <c r="B14" s="18" t="s">
        <v>2</v>
      </c>
      <c r="C14" s="19" t="s">
        <v>3</v>
      </c>
      <c r="D14" s="19" t="s">
        <v>4</v>
      </c>
      <c r="E14" s="19" t="s">
        <v>5</v>
      </c>
      <c r="F14" s="19" t="s">
        <v>6</v>
      </c>
      <c r="G14" s="19" t="s">
        <v>8</v>
      </c>
      <c r="H14" s="147" t="s">
        <v>7</v>
      </c>
      <c r="I14" s="147"/>
      <c r="J14" s="20" t="s">
        <v>9</v>
      </c>
      <c r="L14" s="12" t="s">
        <v>11</v>
      </c>
      <c r="M14" s="43" t="s">
        <v>113</v>
      </c>
      <c r="N14" s="44" t="s">
        <v>101</v>
      </c>
      <c r="O14" s="45">
        <v>72.069999999999993</v>
      </c>
      <c r="P14" s="54">
        <v>20.14</v>
      </c>
      <c r="Q14" s="45">
        <f>O14/P14</f>
        <v>3.5784508440913601</v>
      </c>
      <c r="R14" s="44">
        <v>69703.600000000006</v>
      </c>
      <c r="S14" s="44">
        <f>R14-Q10</f>
        <v>385.20000000001164</v>
      </c>
      <c r="T14" s="98">
        <f>S14/P14</f>
        <v>19.126117179742383</v>
      </c>
      <c r="U14" s="41"/>
      <c r="V14" s="41"/>
      <c r="W14" s="41"/>
      <c r="X14" s="41"/>
      <c r="Y14" s="41"/>
      <c r="Z14" s="41"/>
    </row>
    <row r="15" spans="2:26" x14ac:dyDescent="0.2">
      <c r="B15" s="35" t="s">
        <v>108</v>
      </c>
      <c r="C15" s="36">
        <v>46061</v>
      </c>
      <c r="D15" s="36">
        <v>46062</v>
      </c>
      <c r="E15" s="16">
        <v>700</v>
      </c>
      <c r="F15" s="37" t="s">
        <v>126</v>
      </c>
      <c r="G15" s="38" t="s">
        <v>10</v>
      </c>
      <c r="H15" s="145">
        <v>46062</v>
      </c>
      <c r="I15" s="146"/>
      <c r="J15" s="58" t="s">
        <v>63</v>
      </c>
      <c r="L15" s="13" t="s">
        <v>12</v>
      </c>
      <c r="M15" s="35" t="s">
        <v>122</v>
      </c>
      <c r="N15" s="37" t="s">
        <v>101</v>
      </c>
      <c r="O15" s="16">
        <v>255.54</v>
      </c>
      <c r="P15" s="37">
        <v>76.64</v>
      </c>
      <c r="Q15" s="16">
        <f>O15/P15</f>
        <v>3.3342901878914404</v>
      </c>
      <c r="R15" s="99"/>
      <c r="S15" s="37">
        <f>R15-Q11</f>
        <v>0</v>
      </c>
      <c r="T15" s="40">
        <f>S15/P15</f>
        <v>0</v>
      </c>
      <c r="U15" t="s">
        <v>123</v>
      </c>
    </row>
    <row r="16" spans="2:26" ht="17" thickBot="1" x14ac:dyDescent="0.25">
      <c r="B16" s="35" t="s">
        <v>130</v>
      </c>
      <c r="C16" s="36">
        <v>46063</v>
      </c>
      <c r="D16" s="36">
        <v>46064</v>
      </c>
      <c r="E16" s="63">
        <v>500</v>
      </c>
      <c r="F16" s="37" t="s">
        <v>49</v>
      </c>
      <c r="G16" s="38">
        <v>5</v>
      </c>
      <c r="H16" s="145">
        <f>WORKDAY(D16,G16)</f>
        <v>46071</v>
      </c>
      <c r="I16" s="146"/>
      <c r="J16" s="53" t="s">
        <v>50</v>
      </c>
      <c r="L16" s="13" t="s">
        <v>192</v>
      </c>
      <c r="M16" s="35" t="s">
        <v>51</v>
      </c>
      <c r="N16" s="37" t="s">
        <v>101</v>
      </c>
      <c r="O16" s="16">
        <v>287.35000000000002</v>
      </c>
      <c r="P16" s="46">
        <v>85.91</v>
      </c>
      <c r="Q16" s="95">
        <f>O16/P16</f>
        <v>3.344779420323595</v>
      </c>
      <c r="R16" s="37">
        <v>70572.800000000003</v>
      </c>
      <c r="S16" s="37">
        <f>R16-R14</f>
        <v>869.19999999999709</v>
      </c>
      <c r="T16" s="40">
        <f>S16/(P16+P15)</f>
        <v>5.3472777606890007</v>
      </c>
    </row>
    <row r="17" spans="2:39" ht="17" thickBot="1" x14ac:dyDescent="0.25">
      <c r="B17" s="35" t="s">
        <v>131</v>
      </c>
      <c r="C17" s="36">
        <v>46063</v>
      </c>
      <c r="D17" s="36">
        <v>46064</v>
      </c>
      <c r="E17" s="16">
        <v>325</v>
      </c>
      <c r="F17" s="37" t="s">
        <v>132</v>
      </c>
      <c r="G17" s="38" t="s">
        <v>10</v>
      </c>
      <c r="H17" s="145">
        <v>46064</v>
      </c>
      <c r="I17" s="146"/>
      <c r="J17" s="58" t="s">
        <v>63</v>
      </c>
      <c r="L17" s="13" t="s">
        <v>193</v>
      </c>
      <c r="M17" s="35" t="s">
        <v>61</v>
      </c>
      <c r="N17" s="37" t="s">
        <v>101</v>
      </c>
      <c r="O17" s="16">
        <v>300.38</v>
      </c>
      <c r="P17" s="46">
        <v>88.96</v>
      </c>
      <c r="Q17" s="16">
        <f>O17/P17</f>
        <v>3.3765737410071943</v>
      </c>
      <c r="R17" s="117">
        <v>71491.100000000006</v>
      </c>
      <c r="S17" s="122">
        <f>R17-R16</f>
        <v>918.30000000000291</v>
      </c>
      <c r="T17" s="113">
        <f>S17/(P17+P16)</f>
        <v>5.2513295591010634</v>
      </c>
      <c r="AC17" s="105" t="s">
        <v>68</v>
      </c>
      <c r="AD17" s="100" t="s">
        <v>143</v>
      </c>
      <c r="AE17" s="100" t="s">
        <v>28</v>
      </c>
      <c r="AF17" s="100" t="s">
        <v>142</v>
      </c>
      <c r="AG17" s="64" t="s">
        <v>3</v>
      </c>
      <c r="AH17" s="64" t="s">
        <v>147</v>
      </c>
      <c r="AI17" s="64" t="s">
        <v>141</v>
      </c>
      <c r="AJ17" s="64" t="s">
        <v>69</v>
      </c>
      <c r="AK17" s="64" t="s">
        <v>5</v>
      </c>
      <c r="AL17" s="64" t="s">
        <v>70</v>
      </c>
      <c r="AM17" s="65" t="s">
        <v>153</v>
      </c>
    </row>
    <row r="18" spans="2:39" x14ac:dyDescent="0.2">
      <c r="B18" s="35" t="s">
        <v>134</v>
      </c>
      <c r="C18" s="36">
        <v>46063</v>
      </c>
      <c r="D18" s="36">
        <v>46065</v>
      </c>
      <c r="E18" s="63">
        <v>600</v>
      </c>
      <c r="F18" s="37" t="s">
        <v>49</v>
      </c>
      <c r="G18" s="38">
        <v>5</v>
      </c>
      <c r="H18" s="145">
        <f>WORKDAY(D18,G18)</f>
        <v>46072</v>
      </c>
      <c r="I18" s="146"/>
      <c r="J18" s="53" t="s">
        <v>50</v>
      </c>
      <c r="L18" s="13" t="s">
        <v>103</v>
      </c>
      <c r="M18" s="35" t="s">
        <v>80</v>
      </c>
      <c r="N18" s="37" t="s">
        <v>101</v>
      </c>
      <c r="O18" s="16">
        <v>279.8</v>
      </c>
      <c r="P18" s="46">
        <v>83.15</v>
      </c>
      <c r="Q18" s="16">
        <f>O18/P18</f>
        <v>3.3650030066145518</v>
      </c>
      <c r="R18" s="117">
        <v>72312.399999999994</v>
      </c>
      <c r="S18" s="96">
        <f>R18-R17</f>
        <v>821.29999999998836</v>
      </c>
      <c r="T18" s="97">
        <f>S18/(P18+P17)</f>
        <v>4.7719481726801947</v>
      </c>
      <c r="AC18" s="43" t="s">
        <v>108</v>
      </c>
      <c r="AD18" s="110">
        <v>46054</v>
      </c>
      <c r="AE18" s="111" t="s">
        <v>163</v>
      </c>
      <c r="AF18" s="111" t="s">
        <v>164</v>
      </c>
      <c r="AG18" s="121" t="s">
        <v>106</v>
      </c>
      <c r="AH18" s="112" t="s">
        <v>146</v>
      </c>
      <c r="AI18" s="78" t="s">
        <v>72</v>
      </c>
      <c r="AJ18" s="116">
        <v>963</v>
      </c>
      <c r="AK18" s="3">
        <v>700</v>
      </c>
      <c r="AL18" s="80">
        <f>AK18/AJ18</f>
        <v>0.72689511941848395</v>
      </c>
      <c r="AM18" s="40" t="s">
        <v>88</v>
      </c>
    </row>
    <row r="19" spans="2:39" ht="17" x14ac:dyDescent="0.2">
      <c r="B19" s="35" t="s">
        <v>135</v>
      </c>
      <c r="C19" s="36">
        <v>46064</v>
      </c>
      <c r="D19" s="36">
        <v>46065</v>
      </c>
      <c r="E19" s="63">
        <v>350</v>
      </c>
      <c r="F19" s="37" t="s">
        <v>140</v>
      </c>
      <c r="G19" s="38">
        <v>10</v>
      </c>
      <c r="H19" s="145">
        <f>WORKDAY(D19,G19)</f>
        <v>46079</v>
      </c>
      <c r="I19" s="146"/>
      <c r="J19" s="53" t="s">
        <v>50</v>
      </c>
      <c r="L19" s="13" t="s">
        <v>24</v>
      </c>
      <c r="M19" s="35"/>
      <c r="N19" s="37"/>
      <c r="O19" s="138">
        <f>21+275</f>
        <v>296</v>
      </c>
      <c r="P19" s="46">
        <f>77+4.8</f>
        <v>81.8</v>
      </c>
      <c r="Q19" s="16"/>
      <c r="R19" s="38"/>
      <c r="S19" s="38"/>
      <c r="T19" s="47"/>
      <c r="AC19" s="118" t="s">
        <v>130</v>
      </c>
      <c r="AD19" s="107">
        <v>46054</v>
      </c>
      <c r="AE19" s="38" t="s">
        <v>163</v>
      </c>
      <c r="AF19" s="38" t="s">
        <v>146</v>
      </c>
      <c r="AG19" s="120" t="s">
        <v>166</v>
      </c>
      <c r="AH19" s="101" t="s">
        <v>169</v>
      </c>
      <c r="AI19" s="2" t="s">
        <v>74</v>
      </c>
      <c r="AJ19" s="116">
        <v>678</v>
      </c>
      <c r="AK19" s="3">
        <v>500</v>
      </c>
      <c r="AL19" s="3">
        <f>AK19/AJ19</f>
        <v>0.73746312684365778</v>
      </c>
      <c r="AM19" s="40" t="s">
        <v>154</v>
      </c>
    </row>
    <row r="20" spans="2:39" ht="17" x14ac:dyDescent="0.2">
      <c r="B20" s="35" t="s">
        <v>155</v>
      </c>
      <c r="C20" s="36">
        <v>46065</v>
      </c>
      <c r="D20" s="36">
        <v>46067</v>
      </c>
      <c r="E20" s="16">
        <v>650</v>
      </c>
      <c r="F20" s="37" t="s">
        <v>157</v>
      </c>
      <c r="G20" s="38" t="s">
        <v>10</v>
      </c>
      <c r="H20" s="145">
        <v>46067</v>
      </c>
      <c r="I20" s="146"/>
      <c r="J20" s="58" t="s">
        <v>63</v>
      </c>
      <c r="L20" s="13"/>
      <c r="M20" s="35"/>
      <c r="N20" s="37"/>
      <c r="O20" s="16"/>
      <c r="P20" s="46"/>
      <c r="Q20" s="16"/>
      <c r="R20" s="38"/>
      <c r="S20" s="38"/>
      <c r="T20" s="47"/>
      <c r="AC20" s="118" t="s">
        <v>131</v>
      </c>
      <c r="AD20" s="107">
        <v>46054</v>
      </c>
      <c r="AE20" s="38" t="s">
        <v>163</v>
      </c>
      <c r="AF20" s="38" t="s">
        <v>146</v>
      </c>
      <c r="AG20" s="120" t="s">
        <v>167</v>
      </c>
      <c r="AH20" s="101" t="s">
        <v>165</v>
      </c>
      <c r="AI20" s="2" t="s">
        <v>75</v>
      </c>
      <c r="AJ20" s="116">
        <v>494</v>
      </c>
      <c r="AK20" s="3">
        <v>325</v>
      </c>
      <c r="AL20" s="3">
        <f t="shared" ref="AL20:AL24" si="0">AK20/AJ20</f>
        <v>0.65789473684210531</v>
      </c>
      <c r="AM20" s="40" t="s">
        <v>88</v>
      </c>
    </row>
    <row r="21" spans="2:39" ht="17" x14ac:dyDescent="0.2">
      <c r="B21" s="35" t="s">
        <v>158</v>
      </c>
      <c r="C21" s="36">
        <v>46065</v>
      </c>
      <c r="D21" s="36">
        <v>46067</v>
      </c>
      <c r="E21" s="16">
        <v>550</v>
      </c>
      <c r="F21" s="37" t="s">
        <v>157</v>
      </c>
      <c r="G21" s="38" t="s">
        <v>10</v>
      </c>
      <c r="H21" s="145">
        <v>46067</v>
      </c>
      <c r="I21" s="146"/>
      <c r="J21" s="58" t="s">
        <v>63</v>
      </c>
      <c r="L21" s="13"/>
      <c r="M21" s="35"/>
      <c r="N21" s="37"/>
      <c r="O21" s="16"/>
      <c r="P21" s="46"/>
      <c r="Q21" s="16"/>
      <c r="R21" s="38"/>
      <c r="S21" s="38"/>
      <c r="T21" s="47"/>
      <c r="AC21" s="35" t="s">
        <v>133</v>
      </c>
      <c r="AD21" s="107">
        <v>46054</v>
      </c>
      <c r="AE21" s="38" t="s">
        <v>163</v>
      </c>
      <c r="AF21" s="38" t="s">
        <v>146</v>
      </c>
      <c r="AG21" s="119" t="s">
        <v>168</v>
      </c>
      <c r="AH21" s="101" t="s">
        <v>150</v>
      </c>
      <c r="AI21" s="2" t="s">
        <v>77</v>
      </c>
      <c r="AJ21" s="116">
        <v>724</v>
      </c>
      <c r="AK21" s="3">
        <v>600</v>
      </c>
      <c r="AL21" s="3">
        <f t="shared" si="0"/>
        <v>0.82872928176795579</v>
      </c>
      <c r="AM21" s="40" t="s">
        <v>154</v>
      </c>
    </row>
    <row r="22" spans="2:39" ht="17" x14ac:dyDescent="0.2">
      <c r="B22" s="35" t="s">
        <v>159</v>
      </c>
      <c r="C22" s="36">
        <v>46065</v>
      </c>
      <c r="D22" s="36">
        <v>46066</v>
      </c>
      <c r="E22" s="16">
        <v>450</v>
      </c>
      <c r="F22" s="37" t="s">
        <v>132</v>
      </c>
      <c r="G22" s="38" t="s">
        <v>10</v>
      </c>
      <c r="H22" s="145">
        <v>46066</v>
      </c>
      <c r="I22" s="146"/>
      <c r="J22" s="58" t="s">
        <v>63</v>
      </c>
      <c r="L22" s="13" t="s">
        <v>120</v>
      </c>
      <c r="M22" s="72" t="s">
        <v>61</v>
      </c>
      <c r="N22" s="73" t="s">
        <v>101</v>
      </c>
      <c r="O22" s="74">
        <v>20</v>
      </c>
      <c r="P22" s="75">
        <f>O22/Q22</f>
        <v>4.6620046620046622</v>
      </c>
      <c r="Q22" s="74">
        <v>4.29</v>
      </c>
      <c r="R22" s="76"/>
      <c r="S22" s="76"/>
      <c r="T22" s="77"/>
      <c r="U22" t="s">
        <v>121</v>
      </c>
      <c r="AC22" s="35" t="s">
        <v>135</v>
      </c>
      <c r="AD22" s="107">
        <v>46054</v>
      </c>
      <c r="AE22" s="38" t="s">
        <v>163</v>
      </c>
      <c r="AF22" s="38" t="s">
        <v>165</v>
      </c>
      <c r="AG22" s="119" t="s">
        <v>136</v>
      </c>
      <c r="AH22" s="101" t="s">
        <v>150</v>
      </c>
      <c r="AI22" s="2" t="s">
        <v>78</v>
      </c>
      <c r="AJ22" s="116">
        <v>301</v>
      </c>
      <c r="AK22" s="3">
        <v>350</v>
      </c>
      <c r="AL22" s="3">
        <f t="shared" si="0"/>
        <v>1.1627906976744187</v>
      </c>
      <c r="AM22" s="40" t="s">
        <v>154</v>
      </c>
    </row>
    <row r="23" spans="2:39" ht="17" thickBot="1" x14ac:dyDescent="0.25">
      <c r="B23" s="35" t="s">
        <v>172</v>
      </c>
      <c r="C23" s="36">
        <v>46067</v>
      </c>
      <c r="D23" s="36">
        <v>46069</v>
      </c>
      <c r="E23" s="16">
        <v>700</v>
      </c>
      <c r="F23" s="37" t="s">
        <v>132</v>
      </c>
      <c r="G23" s="38" t="s">
        <v>10</v>
      </c>
      <c r="H23" s="145">
        <v>46070</v>
      </c>
      <c r="I23" s="146"/>
      <c r="J23" s="58" t="s">
        <v>63</v>
      </c>
      <c r="L23" s="28" t="s">
        <v>26</v>
      </c>
      <c r="M23" s="48"/>
      <c r="N23" s="49"/>
      <c r="O23" s="29"/>
      <c r="P23" s="50"/>
      <c r="Q23" s="29"/>
      <c r="R23" s="51"/>
      <c r="S23" s="51"/>
      <c r="T23" s="52"/>
      <c r="AC23" s="35" t="s">
        <v>155</v>
      </c>
      <c r="AD23" s="107">
        <v>46054</v>
      </c>
      <c r="AE23" s="38" t="s">
        <v>163</v>
      </c>
      <c r="AF23" s="38" t="s">
        <v>150</v>
      </c>
      <c r="AG23" s="14" t="s">
        <v>156</v>
      </c>
      <c r="AH23" s="101" t="s">
        <v>170</v>
      </c>
      <c r="AI23" s="2" t="s">
        <v>85</v>
      </c>
      <c r="AJ23" s="116">
        <v>670</v>
      </c>
      <c r="AK23" s="3">
        <v>650</v>
      </c>
      <c r="AL23" s="3">
        <f t="shared" si="0"/>
        <v>0.97014925373134331</v>
      </c>
      <c r="AM23" s="40" t="s">
        <v>88</v>
      </c>
    </row>
    <row r="24" spans="2:39" ht="18" thickBot="1" x14ac:dyDescent="0.25">
      <c r="B24" s="35"/>
      <c r="C24" s="36"/>
      <c r="D24" s="37"/>
      <c r="E24" s="16"/>
      <c r="F24" s="37"/>
      <c r="G24" s="38"/>
      <c r="H24" s="146"/>
      <c r="I24" s="146"/>
      <c r="J24" s="40"/>
      <c r="O24" s="27">
        <f>SUM(O14:O22)</f>
        <v>1511.14</v>
      </c>
      <c r="AC24" s="118" t="s">
        <v>158</v>
      </c>
      <c r="AD24" s="107">
        <v>46054</v>
      </c>
      <c r="AE24" s="38" t="s">
        <v>163</v>
      </c>
      <c r="AF24" s="38" t="s">
        <v>150</v>
      </c>
      <c r="AG24" s="119" t="s">
        <v>160</v>
      </c>
      <c r="AH24" s="101" t="s">
        <v>170</v>
      </c>
      <c r="AI24" s="106" t="s">
        <v>162</v>
      </c>
      <c r="AJ24" s="116">
        <v>715</v>
      </c>
      <c r="AK24" s="3">
        <v>550</v>
      </c>
      <c r="AL24" s="3">
        <f t="shared" si="0"/>
        <v>0.76923076923076927</v>
      </c>
      <c r="AM24" s="40" t="s">
        <v>88</v>
      </c>
    </row>
    <row r="25" spans="2:39" ht="18" thickBot="1" x14ac:dyDescent="0.25">
      <c r="B25" s="21"/>
      <c r="C25" s="41"/>
      <c r="D25" s="41"/>
      <c r="E25" s="16">
        <f>SUM(E15:E24)</f>
        <v>4825</v>
      </c>
      <c r="F25" s="41"/>
      <c r="G25" s="41"/>
      <c r="H25" s="41"/>
      <c r="I25" s="41"/>
      <c r="J25" s="42"/>
      <c r="AC25" s="118" t="s">
        <v>159</v>
      </c>
      <c r="AD25" s="107">
        <v>46054</v>
      </c>
      <c r="AE25" s="38" t="s">
        <v>163</v>
      </c>
      <c r="AF25" s="38" t="s">
        <v>150</v>
      </c>
      <c r="AG25" s="119" t="s">
        <v>161</v>
      </c>
      <c r="AH25" s="101" t="s">
        <v>149</v>
      </c>
      <c r="AI25" s="106" t="s">
        <v>171</v>
      </c>
      <c r="AJ25" s="116">
        <v>536</v>
      </c>
      <c r="AK25" s="3">
        <v>450</v>
      </c>
      <c r="AL25" s="3">
        <f>AK25/AJ25</f>
        <v>0.83955223880597019</v>
      </c>
      <c r="AM25" s="40" t="s">
        <v>88</v>
      </c>
    </row>
    <row r="26" spans="2:39" ht="18" thickBot="1" x14ac:dyDescent="0.25">
      <c r="B26" s="21"/>
      <c r="C26" s="41"/>
      <c r="D26" s="41"/>
      <c r="E26" s="124"/>
      <c r="F26" s="41"/>
      <c r="G26" s="41"/>
      <c r="H26" s="41"/>
      <c r="I26" s="41"/>
      <c r="J26" s="42"/>
      <c r="M26" s="151" t="s">
        <v>86</v>
      </c>
      <c r="N26" s="152"/>
      <c r="O26" s="153"/>
      <c r="P26" s="69">
        <f>SUM(O14:O21)/SUM(P14:P21)</f>
        <v>3.4153458543289057</v>
      </c>
      <c r="Q26" s="26">
        <f>P26/P28 -1</f>
        <v>3.4953289190577497E-2</v>
      </c>
      <c r="AC26" s="35" t="s">
        <v>172</v>
      </c>
      <c r="AD26" s="107">
        <v>46054</v>
      </c>
      <c r="AE26" s="38" t="s">
        <v>163</v>
      </c>
      <c r="AF26" s="38" t="s">
        <v>170</v>
      </c>
      <c r="AG26" s="106" t="s">
        <v>173</v>
      </c>
      <c r="AH26" s="101" t="s">
        <v>169</v>
      </c>
      <c r="AI26" s="2" t="s">
        <v>174</v>
      </c>
      <c r="AJ26" s="2">
        <v>692</v>
      </c>
      <c r="AK26" s="3">
        <v>700</v>
      </c>
      <c r="AL26" s="3">
        <f>AK26/AJ26</f>
        <v>1.0115606936416186</v>
      </c>
      <c r="AM26" s="40" t="s">
        <v>88</v>
      </c>
    </row>
    <row r="27" spans="2:39" ht="17" thickBot="1" x14ac:dyDescent="0.25">
      <c r="B27" s="21"/>
      <c r="C27" s="41"/>
      <c r="D27" s="41"/>
      <c r="E27" s="124"/>
      <c r="F27" s="41"/>
      <c r="G27" s="41"/>
      <c r="H27" s="41"/>
      <c r="I27" s="41"/>
      <c r="J27" s="42"/>
      <c r="AC27" s="48"/>
      <c r="AD27" s="51"/>
      <c r="AE27" s="51"/>
      <c r="AF27" s="51"/>
      <c r="AG27" s="66"/>
      <c r="AH27" s="66"/>
      <c r="AI27" s="66"/>
      <c r="AJ27" s="66"/>
      <c r="AK27" s="66"/>
      <c r="AL27" s="108"/>
      <c r="AM27" s="109"/>
    </row>
    <row r="28" spans="2:39" ht="17" thickBot="1" x14ac:dyDescent="0.25">
      <c r="B28" s="21"/>
      <c r="C28" s="41"/>
      <c r="D28" s="41"/>
      <c r="E28" s="124"/>
      <c r="F28" s="41"/>
      <c r="G28" s="41"/>
      <c r="H28" s="41"/>
      <c r="I28" s="41"/>
      <c r="J28" s="42"/>
      <c r="M28" s="151" t="s">
        <v>87</v>
      </c>
      <c r="N28" s="152"/>
      <c r="O28" s="153"/>
      <c r="P28" s="70">
        <v>3.3</v>
      </c>
      <c r="AK28" t="s">
        <v>79</v>
      </c>
      <c r="AL28" s="1">
        <f>SUM(AK18:AK27)/SUM(AJ18:AJ27)</f>
        <v>0.83578728564004845</v>
      </c>
    </row>
    <row r="29" spans="2:39" x14ac:dyDescent="0.2">
      <c r="B29" s="21"/>
      <c r="C29" s="41"/>
      <c r="D29" s="41"/>
      <c r="E29" s="124"/>
      <c r="F29" s="41"/>
      <c r="G29" s="41"/>
      <c r="H29" s="41"/>
      <c r="I29" s="41"/>
      <c r="J29" s="42"/>
    </row>
    <row r="30" spans="2:39" x14ac:dyDescent="0.2">
      <c r="B30" s="21"/>
      <c r="C30" s="41"/>
      <c r="D30" s="41"/>
      <c r="E30" s="124"/>
      <c r="F30" s="41"/>
      <c r="G30" s="41"/>
      <c r="H30" s="41"/>
      <c r="I30" s="41"/>
      <c r="J30" s="42"/>
      <c r="O30" s="139"/>
      <c r="P30" t="s">
        <v>216</v>
      </c>
    </row>
    <row r="31" spans="2:39" x14ac:dyDescent="0.2">
      <c r="B31" s="32" t="s">
        <v>124</v>
      </c>
      <c r="C31" s="41"/>
      <c r="D31" s="41"/>
      <c r="E31" s="41"/>
      <c r="F31" s="41"/>
      <c r="G31" s="41"/>
      <c r="H31" s="41"/>
      <c r="I31" s="41"/>
      <c r="J31" s="42"/>
    </row>
    <row r="32" spans="2:39" x14ac:dyDescent="0.2">
      <c r="B32" s="32" t="s">
        <v>127</v>
      </c>
      <c r="C32" s="41"/>
      <c r="D32" s="41"/>
      <c r="E32" s="41"/>
      <c r="F32" s="41"/>
      <c r="G32" s="41"/>
      <c r="H32" s="41"/>
      <c r="I32" s="41"/>
      <c r="J32" s="42"/>
    </row>
    <row r="33" spans="2:14" x14ac:dyDescent="0.2">
      <c r="B33" s="32" t="s">
        <v>128</v>
      </c>
      <c r="C33" s="41"/>
      <c r="D33" s="41"/>
      <c r="E33" s="41"/>
      <c r="F33" s="41"/>
      <c r="G33" s="41"/>
      <c r="H33" s="41"/>
      <c r="I33" s="41"/>
      <c r="J33" s="42"/>
    </row>
    <row r="34" spans="2:14" x14ac:dyDescent="0.2">
      <c r="B34" s="32" t="s">
        <v>129</v>
      </c>
      <c r="C34" s="41"/>
      <c r="D34" s="41"/>
      <c r="E34" s="41"/>
      <c r="F34" s="41"/>
      <c r="G34" s="41"/>
      <c r="H34" s="41"/>
      <c r="I34" s="41"/>
      <c r="J34" s="42"/>
    </row>
    <row r="35" spans="2:14" x14ac:dyDescent="0.2">
      <c r="B35" s="32"/>
      <c r="C35" s="41"/>
      <c r="D35" s="41"/>
      <c r="E35" s="41"/>
      <c r="F35" s="41"/>
      <c r="G35" s="41"/>
      <c r="H35" s="41"/>
      <c r="I35" s="41"/>
      <c r="J35" s="42"/>
    </row>
    <row r="36" spans="2:14" x14ac:dyDescent="0.2">
      <c r="B36" s="33"/>
      <c r="C36" s="34"/>
      <c r="D36" s="34"/>
      <c r="E36" s="41"/>
      <c r="F36" s="41"/>
      <c r="G36" s="41"/>
      <c r="H36" s="41"/>
      <c r="I36" s="41"/>
      <c r="J36" s="42"/>
    </row>
    <row r="37" spans="2:14" ht="17" thickBot="1" x14ac:dyDescent="0.25">
      <c r="B37" s="22" t="s">
        <v>175</v>
      </c>
      <c r="C37" s="23"/>
      <c r="D37" s="23"/>
      <c r="E37" s="23"/>
      <c r="F37" s="23"/>
      <c r="G37" s="23"/>
      <c r="H37" s="23"/>
      <c r="I37" s="23"/>
      <c r="J37" s="24"/>
    </row>
    <row r="39" spans="2:14" x14ac:dyDescent="0.2">
      <c r="C39" t="s">
        <v>28</v>
      </c>
      <c r="D39" t="s">
        <v>29</v>
      </c>
      <c r="E39" t="s">
        <v>5</v>
      </c>
    </row>
    <row r="40" spans="2:14" ht="17" thickBot="1" x14ac:dyDescent="0.25">
      <c r="B40" t="s">
        <v>27</v>
      </c>
      <c r="C40" s="1">
        <f>E25</f>
        <v>4825</v>
      </c>
      <c r="D40" s="17">
        <v>0.12</v>
      </c>
      <c r="E40" s="61">
        <f>C40*D40</f>
        <v>579</v>
      </c>
      <c r="N40" s="123"/>
    </row>
    <row r="41" spans="2:14" ht="16" customHeight="1" x14ac:dyDescent="0.2">
      <c r="B41" t="s">
        <v>45</v>
      </c>
      <c r="C41" s="1">
        <f>E25</f>
        <v>4825</v>
      </c>
      <c r="D41" s="17">
        <v>0.3</v>
      </c>
      <c r="E41" s="60">
        <f>C41*D41</f>
        <v>1447.5</v>
      </c>
      <c r="G41" s="154" t="s">
        <v>183</v>
      </c>
      <c r="H41" s="155"/>
      <c r="I41" s="155"/>
      <c r="J41" s="155"/>
      <c r="K41" s="156"/>
    </row>
    <row r="42" spans="2:14" ht="16" customHeight="1" x14ac:dyDescent="0.2">
      <c r="G42" s="21" t="s">
        <v>178</v>
      </c>
      <c r="K42" s="129">
        <f>E40</f>
        <v>579</v>
      </c>
    </row>
    <row r="43" spans="2:14" ht="16" customHeight="1" x14ac:dyDescent="0.2">
      <c r="G43" s="21" t="s">
        <v>179</v>
      </c>
      <c r="K43" s="130">
        <f>E16+E18+E19</f>
        <v>1450</v>
      </c>
    </row>
    <row r="44" spans="2:14" ht="16" customHeight="1" x14ac:dyDescent="0.2">
      <c r="G44" s="21" t="s">
        <v>180</v>
      </c>
      <c r="K44" s="126">
        <f>C49</f>
        <v>250</v>
      </c>
    </row>
    <row r="45" spans="2:14" x14ac:dyDescent="0.2">
      <c r="B45" t="s">
        <v>31</v>
      </c>
      <c r="C45" t="s">
        <v>5</v>
      </c>
      <c r="G45" s="21" t="s">
        <v>177</v>
      </c>
      <c r="K45" s="126">
        <v>50</v>
      </c>
    </row>
    <row r="46" spans="2:14" ht="16" customHeight="1" thickBot="1" x14ac:dyDescent="0.25">
      <c r="B46" t="s">
        <v>33</v>
      </c>
      <c r="C46" s="1">
        <f>E40</f>
        <v>579</v>
      </c>
      <c r="D46" s="25" t="s">
        <v>10</v>
      </c>
      <c r="E46" s="26">
        <f>C46/$E$25</f>
        <v>0.12</v>
      </c>
      <c r="G46" s="22"/>
      <c r="H46" s="23"/>
      <c r="I46" s="127" t="s">
        <v>181</v>
      </c>
      <c r="J46" s="127"/>
      <c r="K46" s="128">
        <f>K43-K42-K44-K45</f>
        <v>571</v>
      </c>
      <c r="L46" s="53" t="s">
        <v>50</v>
      </c>
    </row>
    <row r="47" spans="2:14" ht="16" customHeight="1" thickBot="1" x14ac:dyDescent="0.25">
      <c r="B47" t="s">
        <v>45</v>
      </c>
      <c r="C47" s="1">
        <f>E41</f>
        <v>1447.5</v>
      </c>
      <c r="D47" s="25" t="s">
        <v>10</v>
      </c>
      <c r="E47" s="26">
        <f t="shared" ref="E47:E49" si="1">C47/$E$25</f>
        <v>0.3</v>
      </c>
      <c r="G47" s="4" t="s">
        <v>182</v>
      </c>
      <c r="H47" s="5"/>
      <c r="I47" s="5"/>
      <c r="J47" s="5"/>
      <c r="K47" s="131">
        <v>250</v>
      </c>
    </row>
    <row r="48" spans="2:14" x14ac:dyDescent="0.2">
      <c r="B48" t="s">
        <v>32</v>
      </c>
      <c r="C48" s="1">
        <f>O24</f>
        <v>1511.14</v>
      </c>
      <c r="D48" s="25" t="s">
        <v>10</v>
      </c>
      <c r="E48" s="26">
        <f t="shared" si="1"/>
        <v>0.31318963730569949</v>
      </c>
      <c r="K48" s="1">
        <f>K46+K47</f>
        <v>821</v>
      </c>
    </row>
    <row r="49" spans="2:15" x14ac:dyDescent="0.2">
      <c r="B49" t="s">
        <v>30</v>
      </c>
      <c r="C49" s="1">
        <v>250</v>
      </c>
      <c r="D49" s="25" t="s">
        <v>10</v>
      </c>
      <c r="E49" s="26">
        <f t="shared" si="1"/>
        <v>5.181347150259067E-2</v>
      </c>
    </row>
    <row r="50" spans="2:15" x14ac:dyDescent="0.2">
      <c r="B50" t="s">
        <v>139</v>
      </c>
      <c r="C50" s="1"/>
      <c r="D50" s="1">
        <f>50/4</f>
        <v>12.5</v>
      </c>
      <c r="E50" s="26">
        <f t="shared" ref="E50:E56" si="2">D50/$E$25</f>
        <v>2.5906735751295338E-3</v>
      </c>
    </row>
    <row r="51" spans="2:15" ht="17" thickBot="1" x14ac:dyDescent="0.25">
      <c r="B51" t="s">
        <v>64</v>
      </c>
      <c r="C51" s="25" t="s">
        <v>10</v>
      </c>
      <c r="D51" s="1">
        <f>153/4</f>
        <v>38.25</v>
      </c>
      <c r="E51" s="26">
        <f t="shared" si="2"/>
        <v>7.9274611398963725E-3</v>
      </c>
    </row>
    <row r="52" spans="2:15" x14ac:dyDescent="0.2">
      <c r="B52" t="s">
        <v>46</v>
      </c>
      <c r="C52" s="25" t="s">
        <v>10</v>
      </c>
      <c r="D52" s="1">
        <f>150/4</f>
        <v>37.5</v>
      </c>
      <c r="E52" s="26">
        <f t="shared" si="2"/>
        <v>7.7720207253886009E-3</v>
      </c>
      <c r="G52" s="154" t="s">
        <v>184</v>
      </c>
      <c r="H52" s="155"/>
      <c r="I52" s="155"/>
      <c r="J52" s="155"/>
      <c r="K52" s="156"/>
    </row>
    <row r="53" spans="2:15" x14ac:dyDescent="0.2">
      <c r="B53" t="s">
        <v>34</v>
      </c>
      <c r="C53" s="25" t="s">
        <v>10</v>
      </c>
      <c r="D53" s="1">
        <f>183/4</f>
        <v>45.75</v>
      </c>
      <c r="E53" s="26">
        <f t="shared" si="2"/>
        <v>9.4818652849740937E-3</v>
      </c>
      <c r="G53" s="21" t="s">
        <v>65</v>
      </c>
      <c r="K53" s="125">
        <f>E41</f>
        <v>1447.5</v>
      </c>
    </row>
    <row r="54" spans="2:15" x14ac:dyDescent="0.2">
      <c r="B54" t="s">
        <v>35</v>
      </c>
      <c r="C54" s="25" t="s">
        <v>10</v>
      </c>
      <c r="D54" s="1">
        <f>1197.66/4</f>
        <v>299.41500000000002</v>
      </c>
      <c r="E54" s="26">
        <f t="shared" si="2"/>
        <v>6.205492227979275E-2</v>
      </c>
      <c r="G54" s="21"/>
      <c r="K54" s="126"/>
    </row>
    <row r="55" spans="2:15" ht="17" thickBot="1" x14ac:dyDescent="0.25">
      <c r="B55" t="s">
        <v>38</v>
      </c>
      <c r="C55" s="25" t="s">
        <v>10</v>
      </c>
      <c r="D55" s="55">
        <v>100</v>
      </c>
      <c r="E55" s="26">
        <f t="shared" si="2"/>
        <v>2.072538860103627E-2</v>
      </c>
      <c r="G55" s="22"/>
      <c r="H55" s="23"/>
      <c r="I55" s="127" t="s">
        <v>176</v>
      </c>
      <c r="J55" s="127"/>
      <c r="K55" s="128">
        <f>K53-K54</f>
        <v>1447.5</v>
      </c>
      <c r="L55" s="58" t="s">
        <v>63</v>
      </c>
    </row>
    <row r="56" spans="2:15" x14ac:dyDescent="0.2">
      <c r="B56" t="s">
        <v>39</v>
      </c>
      <c r="C56" s="25" t="s">
        <v>10</v>
      </c>
      <c r="D56" s="55">
        <v>100</v>
      </c>
      <c r="E56" s="26">
        <f t="shared" si="2"/>
        <v>2.072538860103627E-2</v>
      </c>
    </row>
    <row r="57" spans="2:15" x14ac:dyDescent="0.2">
      <c r="C57" s="1"/>
      <c r="D57" s="1"/>
    </row>
    <row r="58" spans="2:15" x14ac:dyDescent="0.2">
      <c r="C58" s="1">
        <f>SUM(C46:C57)</f>
        <v>3787.6400000000003</v>
      </c>
      <c r="D58" s="1">
        <f>SUM(D50:D57)</f>
        <v>633.41499999999996</v>
      </c>
      <c r="E58" s="31">
        <f>SUM(E46:E57)</f>
        <v>0.91628082901554386</v>
      </c>
      <c r="N58" s="148"/>
      <c r="O58" s="148"/>
    </row>
    <row r="59" spans="2:15" x14ac:dyDescent="0.2">
      <c r="B59" t="s">
        <v>36</v>
      </c>
      <c r="C59" s="149">
        <f>C58+D58</f>
        <v>4421.0550000000003</v>
      </c>
      <c r="D59" s="150"/>
    </row>
    <row r="60" spans="2:15" x14ac:dyDescent="0.2">
      <c r="B60" t="s">
        <v>37</v>
      </c>
      <c r="C60" s="148">
        <f>E25-C59</f>
        <v>403.94499999999971</v>
      </c>
      <c r="D60" s="148"/>
      <c r="E60" s="30">
        <f>C60/E25</f>
        <v>8.3719170984455901E-2</v>
      </c>
    </row>
  </sheetData>
  <mergeCells count="18">
    <mergeCell ref="M26:O26"/>
    <mergeCell ref="M28:O28"/>
    <mergeCell ref="H19:I19"/>
    <mergeCell ref="H14:I14"/>
    <mergeCell ref="H15:I15"/>
    <mergeCell ref="H16:I16"/>
    <mergeCell ref="H17:I17"/>
    <mergeCell ref="H18:I18"/>
    <mergeCell ref="H20:I20"/>
    <mergeCell ref="H21:I21"/>
    <mergeCell ref="H22:I22"/>
    <mergeCell ref="H23:I23"/>
    <mergeCell ref="H24:I24"/>
    <mergeCell ref="G41:K41"/>
    <mergeCell ref="N58:O58"/>
    <mergeCell ref="C59:D59"/>
    <mergeCell ref="C60:D60"/>
    <mergeCell ref="G52:K52"/>
  </mergeCells>
  <pageMargins left="0.511811024" right="0.511811024" top="0.78740157499999996" bottom="0.78740157499999996" header="0.31496062000000002" footer="0.31496062000000002"/>
  <pageSetup paperSize="9" orientation="portrait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6BC80-CEE6-8045-BD79-0CB8AA01C283}">
  <dimension ref="B3:AM60"/>
  <sheetViews>
    <sheetView tabSelected="1" topLeftCell="A30" zoomScaleNormal="100" workbookViewId="0">
      <selection activeCell="AI23" sqref="AI23"/>
    </sheetView>
  </sheetViews>
  <sheetFormatPr baseColWidth="10" defaultRowHeight="16" x14ac:dyDescent="0.2"/>
  <cols>
    <col min="2" max="2" width="45.83203125" bestFit="1" customWidth="1"/>
    <col min="4" max="4" width="12" bestFit="1" customWidth="1"/>
    <col min="5" max="5" width="11.33203125" bestFit="1" customWidth="1"/>
    <col min="6" max="6" width="14.33203125" bestFit="1" customWidth="1"/>
    <col min="7" max="7" width="11" bestFit="1" customWidth="1"/>
    <col min="10" max="10" width="13.83203125" bestFit="1" customWidth="1"/>
    <col min="12" max="12" width="15.33203125" bestFit="1" customWidth="1"/>
    <col min="13" max="13" width="16.5" bestFit="1" customWidth="1"/>
    <col min="17" max="17" width="13.83203125" customWidth="1"/>
    <col min="18" max="18" width="19.83203125" customWidth="1"/>
    <col min="19" max="19" width="18" customWidth="1"/>
    <col min="21" max="21" width="13" customWidth="1"/>
    <col min="29" max="29" width="11.83203125" bestFit="1" customWidth="1"/>
    <col min="32" max="32" width="15" bestFit="1" customWidth="1"/>
    <col min="33" max="33" width="51.83203125" bestFit="1" customWidth="1"/>
    <col min="34" max="34" width="16.6640625" bestFit="1" customWidth="1"/>
    <col min="35" max="35" width="63.5" bestFit="1" customWidth="1"/>
  </cols>
  <sheetData>
    <row r="3" spans="2:26" x14ac:dyDescent="0.2">
      <c r="B3" t="s">
        <v>42</v>
      </c>
    </row>
    <row r="8" spans="2:26" x14ac:dyDescent="0.2">
      <c r="B8" t="s">
        <v>0</v>
      </c>
      <c r="C8">
        <v>62108.1</v>
      </c>
      <c r="D8" t="s">
        <v>1</v>
      </c>
    </row>
    <row r="9" spans="2:26" ht="17" thickBot="1" x14ac:dyDescent="0.25"/>
    <row r="10" spans="2:26" ht="17" thickBot="1" x14ac:dyDescent="0.25">
      <c r="N10" s="4" t="s">
        <v>18</v>
      </c>
      <c r="O10" s="5"/>
      <c r="P10" s="6"/>
      <c r="Q10" s="38">
        <v>69318.399999999994</v>
      </c>
      <c r="R10" t="s">
        <v>112</v>
      </c>
    </row>
    <row r="12" spans="2:26" ht="17" thickBot="1" x14ac:dyDescent="0.25"/>
    <row r="13" spans="2:26" ht="69" customHeight="1" thickBot="1" x14ac:dyDescent="0.25">
      <c r="M13" s="8" t="s">
        <v>17</v>
      </c>
      <c r="N13" s="9" t="s">
        <v>16</v>
      </c>
      <c r="O13" s="9" t="s">
        <v>13</v>
      </c>
      <c r="P13" s="9" t="s">
        <v>14</v>
      </c>
      <c r="Q13" s="9" t="s">
        <v>41</v>
      </c>
      <c r="R13" s="10" t="s">
        <v>21</v>
      </c>
      <c r="S13" s="10" t="s">
        <v>19</v>
      </c>
      <c r="T13" s="11" t="s">
        <v>15</v>
      </c>
    </row>
    <row r="14" spans="2:26" x14ac:dyDescent="0.2">
      <c r="B14" s="18" t="s">
        <v>2</v>
      </c>
      <c r="C14" s="19" t="s">
        <v>3</v>
      </c>
      <c r="D14" s="19" t="s">
        <v>4</v>
      </c>
      <c r="E14" s="19" t="s">
        <v>5</v>
      </c>
      <c r="F14" s="19" t="s">
        <v>6</v>
      </c>
      <c r="G14" s="19" t="s">
        <v>8</v>
      </c>
      <c r="H14" s="147" t="s">
        <v>7</v>
      </c>
      <c r="I14" s="147"/>
      <c r="J14" s="20" t="s">
        <v>9</v>
      </c>
      <c r="L14" s="12" t="s">
        <v>11</v>
      </c>
      <c r="M14" s="43" t="s">
        <v>61</v>
      </c>
      <c r="N14" s="44" t="s">
        <v>101</v>
      </c>
      <c r="O14" s="45">
        <v>279.83</v>
      </c>
      <c r="P14" s="54">
        <v>87.4</v>
      </c>
      <c r="Q14" s="45">
        <f>O14/P14</f>
        <v>3.2017162471395877</v>
      </c>
      <c r="R14" s="44">
        <v>73958.7</v>
      </c>
      <c r="S14" s="44"/>
      <c r="T14" s="98"/>
      <c r="U14" s="41"/>
      <c r="V14" s="41"/>
      <c r="W14" s="41"/>
      <c r="X14" s="41"/>
      <c r="Y14" s="41"/>
      <c r="Z14" s="41"/>
    </row>
    <row r="15" spans="2:26" x14ac:dyDescent="0.2">
      <c r="B15" s="35" t="s">
        <v>198</v>
      </c>
      <c r="C15" s="36">
        <v>46068</v>
      </c>
      <c r="D15" s="36">
        <v>46069</v>
      </c>
      <c r="E15" s="16">
        <v>400</v>
      </c>
      <c r="F15" s="37" t="s">
        <v>88</v>
      </c>
      <c r="G15" s="38" t="s">
        <v>10</v>
      </c>
      <c r="H15" s="145">
        <v>46069</v>
      </c>
      <c r="I15" s="146"/>
      <c r="J15" s="58" t="s">
        <v>63</v>
      </c>
      <c r="L15" s="13" t="s">
        <v>12</v>
      </c>
      <c r="M15" s="35" t="s">
        <v>102</v>
      </c>
      <c r="N15" s="37" t="s">
        <v>101</v>
      </c>
      <c r="O15" s="16">
        <v>308.79000000000002</v>
      </c>
      <c r="P15" s="37">
        <v>84.82</v>
      </c>
      <c r="Q15" s="142">
        <f>O15/P15</f>
        <v>3.6405328931855698</v>
      </c>
      <c r="R15" s="96">
        <v>74761</v>
      </c>
      <c r="S15" s="37">
        <f>R15-R14</f>
        <v>802.30000000000291</v>
      </c>
      <c r="T15" s="40">
        <f>S15/P15</f>
        <v>9.458854043857615</v>
      </c>
    </row>
    <row r="16" spans="2:26" ht="17" thickBot="1" x14ac:dyDescent="0.25">
      <c r="B16" s="35" t="s">
        <v>108</v>
      </c>
      <c r="C16" s="36">
        <v>46069</v>
      </c>
      <c r="D16" s="36">
        <v>46070</v>
      </c>
      <c r="E16" s="16">
        <v>300</v>
      </c>
      <c r="F16" s="37" t="s">
        <v>206</v>
      </c>
      <c r="G16" s="38" t="s">
        <v>10</v>
      </c>
      <c r="H16" s="145">
        <v>46070</v>
      </c>
      <c r="I16" s="146"/>
      <c r="J16" s="58" t="s">
        <v>63</v>
      </c>
      <c r="L16" s="13" t="s">
        <v>192</v>
      </c>
      <c r="M16" s="35"/>
      <c r="N16" s="37"/>
      <c r="O16" s="16"/>
      <c r="P16" s="46"/>
      <c r="Q16" s="95"/>
      <c r="R16" s="37"/>
      <c r="S16" s="37"/>
      <c r="T16" s="40"/>
    </row>
    <row r="17" spans="2:39" ht="17" thickBot="1" x14ac:dyDescent="0.25">
      <c r="B17" s="35" t="s">
        <v>205</v>
      </c>
      <c r="C17" s="36">
        <v>46069</v>
      </c>
      <c r="D17" s="36">
        <v>46071</v>
      </c>
      <c r="E17" s="16">
        <v>500</v>
      </c>
      <c r="F17" s="37" t="s">
        <v>88</v>
      </c>
      <c r="G17" s="38" t="s">
        <v>10</v>
      </c>
      <c r="H17" s="145">
        <v>46071</v>
      </c>
      <c r="I17" s="146"/>
      <c r="J17" s="58" t="s">
        <v>63</v>
      </c>
      <c r="L17" s="13" t="s">
        <v>193</v>
      </c>
      <c r="M17" s="35"/>
      <c r="N17" s="37"/>
      <c r="O17" s="16"/>
      <c r="P17" s="46"/>
      <c r="Q17" s="16"/>
      <c r="R17" s="117"/>
      <c r="S17" s="122"/>
      <c r="T17" s="113"/>
      <c r="AC17" s="105" t="s">
        <v>68</v>
      </c>
      <c r="AD17" s="100" t="s">
        <v>143</v>
      </c>
      <c r="AE17" s="100" t="s">
        <v>28</v>
      </c>
      <c r="AF17" s="100" t="s">
        <v>142</v>
      </c>
      <c r="AG17" s="64" t="s">
        <v>3</v>
      </c>
      <c r="AH17" s="64" t="s">
        <v>147</v>
      </c>
      <c r="AI17" s="64" t="s">
        <v>141</v>
      </c>
      <c r="AJ17" s="64" t="s">
        <v>69</v>
      </c>
      <c r="AK17" s="64" t="s">
        <v>5</v>
      </c>
      <c r="AL17" s="64" t="s">
        <v>70</v>
      </c>
      <c r="AM17" s="65" t="s">
        <v>153</v>
      </c>
    </row>
    <row r="18" spans="2:39" x14ac:dyDescent="0.2">
      <c r="B18" s="35" t="s">
        <v>209</v>
      </c>
      <c r="C18" s="36">
        <v>46069</v>
      </c>
      <c r="D18" s="36">
        <v>46071</v>
      </c>
      <c r="E18" s="16">
        <v>450</v>
      </c>
      <c r="F18" s="37" t="s">
        <v>206</v>
      </c>
      <c r="G18" s="38" t="s">
        <v>10</v>
      </c>
      <c r="H18" s="145">
        <v>46071</v>
      </c>
      <c r="I18" s="146"/>
      <c r="J18" s="58" t="s">
        <v>63</v>
      </c>
      <c r="L18" s="13" t="s">
        <v>103</v>
      </c>
      <c r="M18" s="35"/>
      <c r="N18" s="37"/>
      <c r="O18" s="16"/>
      <c r="P18" s="46"/>
      <c r="Q18" s="16"/>
      <c r="R18" s="117"/>
      <c r="S18" s="96"/>
      <c r="T18" s="97"/>
      <c r="AC18" s="43" t="s">
        <v>199</v>
      </c>
      <c r="AD18" s="110">
        <v>46054</v>
      </c>
      <c r="AE18" s="111" t="s">
        <v>200</v>
      </c>
      <c r="AF18" s="111" t="s">
        <v>170</v>
      </c>
      <c r="AG18" s="121" t="s">
        <v>196</v>
      </c>
      <c r="AH18" s="112" t="s">
        <v>169</v>
      </c>
      <c r="AI18" s="78" t="s">
        <v>197</v>
      </c>
      <c r="AJ18" s="116">
        <v>566</v>
      </c>
      <c r="AK18" s="3">
        <v>400</v>
      </c>
      <c r="AL18" s="80">
        <f>AK18/AJ18</f>
        <v>0.70671378091872794</v>
      </c>
      <c r="AM18" s="40" t="s">
        <v>88</v>
      </c>
    </row>
    <row r="19" spans="2:39" ht="17" x14ac:dyDescent="0.2">
      <c r="B19" s="35" t="s">
        <v>213</v>
      </c>
      <c r="C19" s="36">
        <v>46070</v>
      </c>
      <c r="D19" s="36">
        <v>46071</v>
      </c>
      <c r="E19" s="16">
        <v>300</v>
      </c>
      <c r="F19" s="37" t="s">
        <v>206</v>
      </c>
      <c r="G19" s="38" t="s">
        <v>10</v>
      </c>
      <c r="H19" s="145">
        <v>46071</v>
      </c>
      <c r="I19" s="146"/>
      <c r="J19" s="58" t="s">
        <v>63</v>
      </c>
      <c r="L19" s="13" t="s">
        <v>24</v>
      </c>
      <c r="M19" s="35"/>
      <c r="N19" s="37"/>
      <c r="O19" s="16"/>
      <c r="P19" s="46"/>
      <c r="Q19" s="16"/>
      <c r="R19" s="38"/>
      <c r="S19" s="38"/>
      <c r="T19" s="47"/>
      <c r="AC19" s="118" t="s">
        <v>108</v>
      </c>
      <c r="AD19" s="110">
        <v>46054</v>
      </c>
      <c r="AE19" s="111" t="s">
        <v>200</v>
      </c>
      <c r="AF19" s="38" t="s">
        <v>169</v>
      </c>
      <c r="AG19" s="120" t="s">
        <v>201</v>
      </c>
      <c r="AH19" s="101" t="s">
        <v>150</v>
      </c>
      <c r="AI19" s="2" t="s">
        <v>204</v>
      </c>
      <c r="AJ19" s="116">
        <v>230</v>
      </c>
      <c r="AK19" s="3">
        <v>300</v>
      </c>
      <c r="AL19" s="80">
        <f>AK19/AJ19</f>
        <v>1.3043478260869565</v>
      </c>
      <c r="AM19" s="40" t="s">
        <v>88</v>
      </c>
    </row>
    <row r="20" spans="2:39" ht="17" x14ac:dyDescent="0.2">
      <c r="B20" s="35" t="s">
        <v>224</v>
      </c>
      <c r="C20" s="36">
        <v>46071</v>
      </c>
      <c r="D20" s="36"/>
      <c r="E20" s="16">
        <v>850</v>
      </c>
      <c r="F20" s="37" t="s">
        <v>88</v>
      </c>
      <c r="G20" s="38"/>
      <c r="H20" s="145"/>
      <c r="I20" s="146"/>
      <c r="J20" s="39"/>
      <c r="L20" s="13"/>
      <c r="M20" s="35"/>
      <c r="N20" s="37"/>
      <c r="O20" s="16"/>
      <c r="P20" s="46"/>
      <c r="Q20" s="16"/>
      <c r="R20" s="38"/>
      <c r="S20" s="38"/>
      <c r="T20" s="47"/>
      <c r="AC20" s="118" t="s">
        <v>205</v>
      </c>
      <c r="AD20" s="110">
        <v>46054</v>
      </c>
      <c r="AE20" s="111" t="s">
        <v>200</v>
      </c>
      <c r="AF20" s="38" t="s">
        <v>169</v>
      </c>
      <c r="AG20" s="120" t="s">
        <v>201</v>
      </c>
      <c r="AH20" s="101" t="s">
        <v>203</v>
      </c>
      <c r="AI20" s="106" t="s">
        <v>202</v>
      </c>
      <c r="AJ20" s="116">
        <v>675</v>
      </c>
      <c r="AK20" s="3">
        <v>500</v>
      </c>
      <c r="AL20" s="80">
        <f>AK20/AJ20</f>
        <v>0.7407407407407407</v>
      </c>
      <c r="AM20" s="40" t="s">
        <v>88</v>
      </c>
    </row>
    <row r="21" spans="2:39" ht="19" customHeight="1" x14ac:dyDescent="0.2">
      <c r="B21" s="118" t="s">
        <v>223</v>
      </c>
      <c r="C21" s="36">
        <v>46071</v>
      </c>
      <c r="D21" s="36"/>
      <c r="E21" s="16">
        <v>600</v>
      </c>
      <c r="F21" s="37" t="s">
        <v>88</v>
      </c>
      <c r="G21" s="38"/>
      <c r="H21" s="145"/>
      <c r="I21" s="146"/>
      <c r="J21" s="39"/>
      <c r="L21" s="13"/>
      <c r="M21" s="35"/>
      <c r="N21" s="37"/>
      <c r="O21" s="16"/>
      <c r="P21" s="46"/>
      <c r="Q21" s="16"/>
      <c r="R21" s="38"/>
      <c r="S21" s="38"/>
      <c r="T21" s="47"/>
      <c r="AC21" s="35" t="s">
        <v>209</v>
      </c>
      <c r="AD21" s="110">
        <v>46054</v>
      </c>
      <c r="AE21" s="111" t="s">
        <v>200</v>
      </c>
      <c r="AF21" s="38" t="s">
        <v>169</v>
      </c>
      <c r="AG21" s="119" t="s">
        <v>210</v>
      </c>
      <c r="AH21" s="101" t="s">
        <v>151</v>
      </c>
      <c r="AI21" s="106" t="s">
        <v>211</v>
      </c>
      <c r="AJ21" s="116">
        <v>419</v>
      </c>
      <c r="AK21" s="3">
        <v>450</v>
      </c>
      <c r="AL21" s="80">
        <f>AK21/AJ21</f>
        <v>1.0739856801909309</v>
      </c>
      <c r="AM21" s="40" t="s">
        <v>88</v>
      </c>
    </row>
    <row r="22" spans="2:39" ht="17" x14ac:dyDescent="0.2">
      <c r="B22" s="35"/>
      <c r="C22" s="36"/>
      <c r="D22" s="36"/>
      <c r="E22" s="16"/>
      <c r="F22" s="37"/>
      <c r="G22" s="38"/>
      <c r="H22" s="145"/>
      <c r="I22" s="146"/>
      <c r="J22" s="39"/>
      <c r="L22" s="13" t="s">
        <v>120</v>
      </c>
      <c r="M22" s="35"/>
      <c r="N22" s="37"/>
      <c r="O22" s="16"/>
      <c r="P22" s="46"/>
      <c r="Q22" s="16"/>
      <c r="R22" s="38"/>
      <c r="S22" s="38"/>
      <c r="T22" s="47"/>
      <c r="AC22" s="35" t="s">
        <v>213</v>
      </c>
      <c r="AD22" s="110">
        <v>46054</v>
      </c>
      <c r="AE22" s="111" t="s">
        <v>200</v>
      </c>
      <c r="AF22" s="38" t="s">
        <v>150</v>
      </c>
      <c r="AG22" s="119" t="s">
        <v>214</v>
      </c>
      <c r="AH22" s="101" t="s">
        <v>152</v>
      </c>
      <c r="AI22" s="106" t="s">
        <v>215</v>
      </c>
      <c r="AJ22" s="2">
        <v>264</v>
      </c>
      <c r="AK22" s="3">
        <v>300</v>
      </c>
      <c r="AL22" s="3">
        <f>AK22/AJ22</f>
        <v>1.1363636363636365</v>
      </c>
      <c r="AM22" s="40" t="s">
        <v>88</v>
      </c>
    </row>
    <row r="23" spans="2:39" ht="18" thickBot="1" x14ac:dyDescent="0.25">
      <c r="B23" s="35"/>
      <c r="C23" s="36"/>
      <c r="D23" s="37"/>
      <c r="E23" s="16"/>
      <c r="F23" s="37"/>
      <c r="G23" s="38"/>
      <c r="H23" s="146"/>
      <c r="I23" s="146"/>
      <c r="J23" s="40"/>
      <c r="L23" s="28" t="s">
        <v>26</v>
      </c>
      <c r="M23" s="48"/>
      <c r="N23" s="49"/>
      <c r="O23" s="29"/>
      <c r="P23" s="50"/>
      <c r="Q23" s="29"/>
      <c r="R23" s="51"/>
      <c r="S23" s="51"/>
      <c r="T23" s="52"/>
      <c r="AC23" s="35" t="s">
        <v>224</v>
      </c>
      <c r="AD23" s="110">
        <v>46054</v>
      </c>
      <c r="AE23" s="111" t="s">
        <v>200</v>
      </c>
      <c r="AF23" s="38" t="s">
        <v>203</v>
      </c>
      <c r="AG23" s="119" t="s">
        <v>219</v>
      </c>
      <c r="AH23" s="101" t="s">
        <v>165</v>
      </c>
      <c r="AI23" s="2" t="s">
        <v>220</v>
      </c>
      <c r="AJ23" s="116">
        <v>825</v>
      </c>
      <c r="AK23" s="3">
        <v>850</v>
      </c>
      <c r="AL23" s="3">
        <f>AK23/AJ23</f>
        <v>1.0303030303030303</v>
      </c>
      <c r="AM23" s="40" t="s">
        <v>88</v>
      </c>
    </row>
    <row r="24" spans="2:39" ht="18" thickBot="1" x14ac:dyDescent="0.25">
      <c r="B24" s="35"/>
      <c r="C24" s="36"/>
      <c r="D24" s="37"/>
      <c r="E24" s="16"/>
      <c r="F24" s="37"/>
      <c r="G24" s="38"/>
      <c r="H24" s="146"/>
      <c r="I24" s="146"/>
      <c r="J24" s="40"/>
      <c r="O24" s="27">
        <f>SUM(O14:O22)</f>
        <v>588.62</v>
      </c>
      <c r="AC24" s="118" t="s">
        <v>223</v>
      </c>
      <c r="AD24" s="110">
        <v>46054</v>
      </c>
      <c r="AE24" s="111" t="s">
        <v>200</v>
      </c>
      <c r="AF24" s="38" t="s">
        <v>203</v>
      </c>
      <c r="AG24" s="119" t="s">
        <v>221</v>
      </c>
      <c r="AH24" s="101" t="s">
        <v>150</v>
      </c>
      <c r="AI24" s="106" t="s">
        <v>222</v>
      </c>
      <c r="AJ24" s="116">
        <v>544</v>
      </c>
      <c r="AK24" s="3">
        <v>600</v>
      </c>
      <c r="AL24" s="3">
        <f t="shared" ref="AL24:AL25" si="0">AK24/AJ24</f>
        <v>1.1029411764705883</v>
      </c>
      <c r="AM24" s="40" t="s">
        <v>88</v>
      </c>
    </row>
    <row r="25" spans="2:39" ht="17" thickBot="1" x14ac:dyDescent="0.25">
      <c r="B25" s="21"/>
      <c r="C25" s="41"/>
      <c r="D25" s="41"/>
      <c r="E25" s="16">
        <f>SUM(E15:E24)</f>
        <v>3400</v>
      </c>
      <c r="F25" s="41"/>
      <c r="G25" s="41"/>
      <c r="H25" s="41"/>
      <c r="I25" s="41"/>
      <c r="J25" s="42"/>
      <c r="AC25" s="118"/>
      <c r="AD25" s="107"/>
      <c r="AE25" s="38"/>
      <c r="AF25" s="38"/>
      <c r="AG25" s="119"/>
      <c r="AH25" s="101"/>
      <c r="AI25" s="106"/>
      <c r="AJ25" s="116"/>
      <c r="AK25" s="3"/>
      <c r="AL25" s="3"/>
      <c r="AM25" s="40"/>
    </row>
    <row r="26" spans="2:39" ht="17" thickBot="1" x14ac:dyDescent="0.25">
      <c r="B26" s="21"/>
      <c r="C26" s="41"/>
      <c r="D26" s="41"/>
      <c r="E26" s="124"/>
      <c r="F26" s="41"/>
      <c r="G26" s="41"/>
      <c r="H26" s="41"/>
      <c r="I26" s="41"/>
      <c r="J26" s="42"/>
      <c r="M26" s="151" t="s">
        <v>86</v>
      </c>
      <c r="N26" s="152"/>
      <c r="O26" s="153"/>
      <c r="P26" s="69">
        <f>SUM(O14:O21)/SUM(P14:P21)</f>
        <v>3.4178376495180585</v>
      </c>
      <c r="Q26" s="26">
        <f>P26/P28 -1</f>
        <v>3.5708378641835958E-2</v>
      </c>
      <c r="AC26" s="35"/>
      <c r="AD26" s="107"/>
      <c r="AE26" s="38"/>
      <c r="AF26" s="38"/>
      <c r="AG26" s="106"/>
      <c r="AH26" s="101"/>
      <c r="AI26" s="2"/>
      <c r="AJ26" s="2"/>
      <c r="AK26" s="3"/>
      <c r="AL26" s="3"/>
      <c r="AM26" s="40"/>
    </row>
    <row r="27" spans="2:39" ht="17" thickBot="1" x14ac:dyDescent="0.25">
      <c r="B27" s="21"/>
      <c r="C27" s="41"/>
      <c r="D27" s="41"/>
      <c r="E27" s="124"/>
      <c r="F27" s="41"/>
      <c r="G27" s="41"/>
      <c r="H27" s="41"/>
      <c r="I27" s="41"/>
      <c r="J27" s="42"/>
      <c r="AC27" s="48"/>
      <c r="AD27" s="51"/>
      <c r="AE27" s="51"/>
      <c r="AF27" s="51"/>
      <c r="AG27" s="66"/>
      <c r="AH27" s="66"/>
      <c r="AI27" s="66"/>
      <c r="AJ27" s="66"/>
      <c r="AK27" s="66"/>
      <c r="AL27" s="108"/>
      <c r="AM27" s="109"/>
    </row>
    <row r="28" spans="2:39" ht="17" thickBot="1" x14ac:dyDescent="0.25">
      <c r="B28" s="21"/>
      <c r="C28" s="41"/>
      <c r="D28" s="41"/>
      <c r="E28" s="124"/>
      <c r="F28" s="41"/>
      <c r="G28" s="41"/>
      <c r="H28" s="41"/>
      <c r="I28" s="41"/>
      <c r="J28" s="42"/>
      <c r="M28" s="151" t="s">
        <v>87</v>
      </c>
      <c r="N28" s="152"/>
      <c r="O28" s="153"/>
      <c r="P28" s="70">
        <v>3.3</v>
      </c>
      <c r="AK28" t="s">
        <v>79</v>
      </c>
      <c r="AL28" s="1">
        <f>SUM(AK18:AK27)/SUM(AJ18:AJ27)</f>
        <v>0.96508657394266251</v>
      </c>
    </row>
    <row r="29" spans="2:39" x14ac:dyDescent="0.2">
      <c r="B29" s="21"/>
      <c r="C29" s="41"/>
      <c r="D29" s="41"/>
      <c r="E29" s="124"/>
      <c r="F29" s="41"/>
      <c r="G29" s="41"/>
      <c r="H29" s="41"/>
      <c r="I29" s="41"/>
      <c r="J29" s="42"/>
    </row>
    <row r="30" spans="2:39" x14ac:dyDescent="0.2">
      <c r="B30" s="21"/>
      <c r="C30" s="41"/>
      <c r="D30" s="41"/>
      <c r="E30" s="124"/>
      <c r="F30" s="41"/>
      <c r="G30" s="41"/>
      <c r="H30" s="41"/>
      <c r="I30" s="41"/>
      <c r="J30" s="42"/>
    </row>
    <row r="31" spans="2:39" x14ac:dyDescent="0.2">
      <c r="B31" s="32"/>
      <c r="C31" s="41"/>
      <c r="D31" s="41"/>
      <c r="E31" s="41"/>
      <c r="F31" s="41"/>
      <c r="G31" s="41"/>
      <c r="H31" s="41"/>
      <c r="I31" s="41"/>
      <c r="J31" s="42"/>
    </row>
    <row r="32" spans="2:39" x14ac:dyDescent="0.2">
      <c r="B32" s="32"/>
      <c r="C32" s="41"/>
      <c r="D32" s="41"/>
      <c r="E32" s="41"/>
      <c r="F32" s="41"/>
      <c r="G32" s="41"/>
      <c r="H32" s="41"/>
      <c r="I32" s="41"/>
      <c r="J32" s="42"/>
    </row>
    <row r="33" spans="2:14" x14ac:dyDescent="0.2">
      <c r="B33" s="32"/>
      <c r="C33" s="41"/>
      <c r="D33" s="41"/>
      <c r="E33" s="41"/>
      <c r="F33" s="41"/>
      <c r="G33" s="41"/>
      <c r="H33" s="41"/>
      <c r="I33" s="41"/>
      <c r="J33" s="42"/>
    </row>
    <row r="34" spans="2:14" x14ac:dyDescent="0.2">
      <c r="B34" s="32"/>
      <c r="C34" s="41"/>
      <c r="D34" s="41"/>
      <c r="E34" s="41"/>
      <c r="F34" s="41"/>
      <c r="G34" s="41"/>
      <c r="H34" s="41"/>
      <c r="I34" s="41"/>
      <c r="J34" s="42"/>
    </row>
    <row r="35" spans="2:14" x14ac:dyDescent="0.2">
      <c r="B35" s="32"/>
      <c r="C35" s="41"/>
      <c r="D35" s="41"/>
      <c r="E35" s="41"/>
      <c r="F35" s="41"/>
      <c r="G35" s="41"/>
      <c r="H35" s="41"/>
      <c r="I35" s="41"/>
      <c r="J35" s="42"/>
    </row>
    <row r="36" spans="2:14" x14ac:dyDescent="0.2">
      <c r="B36" s="33"/>
      <c r="C36" s="34"/>
      <c r="D36" s="34"/>
      <c r="E36" s="41"/>
      <c r="F36" s="41"/>
      <c r="G36" s="41"/>
      <c r="H36" s="41"/>
      <c r="I36" s="41"/>
      <c r="J36" s="42"/>
    </row>
    <row r="37" spans="2:14" ht="17" thickBot="1" x14ac:dyDescent="0.25">
      <c r="B37" s="22"/>
      <c r="C37" s="23"/>
      <c r="D37" s="23"/>
      <c r="E37" s="23"/>
      <c r="F37" s="23"/>
      <c r="G37" s="23"/>
      <c r="H37" s="23"/>
      <c r="I37" s="23"/>
      <c r="J37" s="24"/>
    </row>
    <row r="39" spans="2:14" x14ac:dyDescent="0.2">
      <c r="C39" t="s">
        <v>28</v>
      </c>
      <c r="D39" t="s">
        <v>29</v>
      </c>
      <c r="E39" t="s">
        <v>5</v>
      </c>
    </row>
    <row r="40" spans="2:14" ht="17" thickBot="1" x14ac:dyDescent="0.25">
      <c r="B40" t="s">
        <v>27</v>
      </c>
      <c r="C40" s="1">
        <f>E25</f>
        <v>3400</v>
      </c>
      <c r="D40" s="17">
        <v>0.12</v>
      </c>
      <c r="E40" s="61">
        <f>C40*D40</f>
        <v>408</v>
      </c>
      <c r="N40" s="123"/>
    </row>
    <row r="41" spans="2:14" ht="16" customHeight="1" x14ac:dyDescent="0.2">
      <c r="B41" t="s">
        <v>45</v>
      </c>
      <c r="C41" s="1">
        <f>E25</f>
        <v>3400</v>
      </c>
      <c r="D41" s="17">
        <v>0.3</v>
      </c>
      <c r="E41" s="60">
        <f>C41*D41</f>
        <v>1020</v>
      </c>
      <c r="G41" s="154" t="s">
        <v>183</v>
      </c>
      <c r="H41" s="155"/>
      <c r="I41" s="155"/>
      <c r="J41" s="155"/>
      <c r="K41" s="156"/>
    </row>
    <row r="42" spans="2:14" ht="16" customHeight="1" x14ac:dyDescent="0.2">
      <c r="G42" s="21" t="s">
        <v>178</v>
      </c>
      <c r="K42" s="129">
        <f>E40</f>
        <v>408</v>
      </c>
    </row>
    <row r="43" spans="2:14" ht="16" customHeight="1" x14ac:dyDescent="0.2">
      <c r="G43" s="21" t="s">
        <v>208</v>
      </c>
      <c r="K43" s="130">
        <v>0</v>
      </c>
    </row>
    <row r="44" spans="2:14" ht="16" customHeight="1" x14ac:dyDescent="0.2">
      <c r="G44" s="21" t="s">
        <v>180</v>
      </c>
      <c r="K44" s="126">
        <f>C49</f>
        <v>250</v>
      </c>
    </row>
    <row r="45" spans="2:14" x14ac:dyDescent="0.2">
      <c r="B45" t="s">
        <v>31</v>
      </c>
      <c r="C45" t="s">
        <v>5</v>
      </c>
      <c r="G45" s="21"/>
      <c r="K45" s="126"/>
    </row>
    <row r="46" spans="2:14" ht="16" customHeight="1" thickBot="1" x14ac:dyDescent="0.25">
      <c r="B46" t="s">
        <v>33</v>
      </c>
      <c r="C46" s="1">
        <f>E40</f>
        <v>408</v>
      </c>
      <c r="D46" s="25" t="s">
        <v>10</v>
      </c>
      <c r="E46" s="26">
        <f>C46/$E$25</f>
        <v>0.12</v>
      </c>
      <c r="G46" s="22"/>
      <c r="H46" s="23"/>
      <c r="I46" s="127" t="s">
        <v>181</v>
      </c>
      <c r="J46" s="127"/>
      <c r="K46" s="128">
        <f>K43-K42-K44-K45</f>
        <v>-658</v>
      </c>
    </row>
    <row r="47" spans="2:14" ht="16" customHeight="1" x14ac:dyDescent="0.2">
      <c r="B47" t="s">
        <v>45</v>
      </c>
      <c r="C47" s="1">
        <f>E41</f>
        <v>1020</v>
      </c>
      <c r="D47" s="25" t="s">
        <v>10</v>
      </c>
      <c r="E47" s="26">
        <f t="shared" ref="E47:E49" si="1">C47/$E$25</f>
        <v>0.3</v>
      </c>
    </row>
    <row r="48" spans="2:14" x14ac:dyDescent="0.2">
      <c r="B48" t="s">
        <v>32</v>
      </c>
      <c r="C48" s="1">
        <f>O24</f>
        <v>588.62</v>
      </c>
      <c r="D48" s="25" t="s">
        <v>10</v>
      </c>
      <c r="E48" s="26">
        <f t="shared" si="1"/>
        <v>0.1731235294117647</v>
      </c>
    </row>
    <row r="49" spans="2:15" x14ac:dyDescent="0.2">
      <c r="B49" t="s">
        <v>30</v>
      </c>
      <c r="C49" s="1">
        <v>250</v>
      </c>
      <c r="D49" s="25" t="s">
        <v>10</v>
      </c>
      <c r="E49" s="26">
        <f t="shared" si="1"/>
        <v>7.3529411764705885E-2</v>
      </c>
    </row>
    <row r="50" spans="2:15" x14ac:dyDescent="0.2">
      <c r="B50" t="s">
        <v>139</v>
      </c>
      <c r="C50" s="1"/>
      <c r="D50" s="1">
        <f>50/4</f>
        <v>12.5</v>
      </c>
      <c r="E50" s="26">
        <f t="shared" ref="E50:E56" si="2">D50/$E$25</f>
        <v>3.6764705882352941E-3</v>
      </c>
    </row>
    <row r="51" spans="2:15" ht="17" thickBot="1" x14ac:dyDescent="0.25">
      <c r="B51" t="s">
        <v>64</v>
      </c>
      <c r="C51" s="25" t="s">
        <v>10</v>
      </c>
      <c r="D51" s="1">
        <f>153/4</f>
        <v>38.25</v>
      </c>
      <c r="E51" s="26">
        <f t="shared" si="2"/>
        <v>1.125E-2</v>
      </c>
    </row>
    <row r="52" spans="2:15" x14ac:dyDescent="0.2">
      <c r="B52" t="s">
        <v>46</v>
      </c>
      <c r="C52" s="25" t="s">
        <v>10</v>
      </c>
      <c r="D52" s="1">
        <f>150/4</f>
        <v>37.5</v>
      </c>
      <c r="E52" s="26">
        <f t="shared" si="2"/>
        <v>1.1029411764705883E-2</v>
      </c>
      <c r="G52" s="154" t="s">
        <v>184</v>
      </c>
      <c r="H52" s="155"/>
      <c r="I52" s="155"/>
      <c r="J52" s="155"/>
      <c r="K52" s="156"/>
    </row>
    <row r="53" spans="2:15" x14ac:dyDescent="0.2">
      <c r="B53" t="s">
        <v>34</v>
      </c>
      <c r="C53" s="25" t="s">
        <v>10</v>
      </c>
      <c r="D53" s="1">
        <f>183/4</f>
        <v>45.75</v>
      </c>
      <c r="E53" s="26">
        <f t="shared" si="2"/>
        <v>1.3455882352941177E-2</v>
      </c>
      <c r="G53" s="21" t="s">
        <v>65</v>
      </c>
      <c r="K53" s="125">
        <f>E41</f>
        <v>1020</v>
      </c>
    </row>
    <row r="54" spans="2:15" x14ac:dyDescent="0.2">
      <c r="B54" t="s">
        <v>35</v>
      </c>
      <c r="C54" s="25" t="s">
        <v>10</v>
      </c>
      <c r="D54" s="1">
        <f>1197.66/4</f>
        <v>299.41500000000002</v>
      </c>
      <c r="E54" s="26">
        <f t="shared" si="2"/>
        <v>8.806323529411765E-2</v>
      </c>
      <c r="G54" s="21" t="s">
        <v>207</v>
      </c>
      <c r="K54" s="126">
        <v>400</v>
      </c>
    </row>
    <row r="55" spans="2:15" ht="17" thickBot="1" x14ac:dyDescent="0.25">
      <c r="B55" t="s">
        <v>38</v>
      </c>
      <c r="C55" s="25" t="s">
        <v>10</v>
      </c>
      <c r="D55" s="55">
        <v>100</v>
      </c>
      <c r="E55" s="26">
        <f t="shared" si="2"/>
        <v>2.9411764705882353E-2</v>
      </c>
      <c r="G55" s="22"/>
      <c r="H55" s="23"/>
      <c r="I55" s="127" t="s">
        <v>176</v>
      </c>
      <c r="J55" s="127"/>
      <c r="K55" s="128">
        <f>K53-K54</f>
        <v>620</v>
      </c>
    </row>
    <row r="56" spans="2:15" x14ac:dyDescent="0.2">
      <c r="B56" t="s">
        <v>39</v>
      </c>
      <c r="C56" s="25" t="s">
        <v>10</v>
      </c>
      <c r="D56" s="55">
        <v>100</v>
      </c>
      <c r="E56" s="26">
        <f t="shared" si="2"/>
        <v>2.9411764705882353E-2</v>
      </c>
    </row>
    <row r="57" spans="2:15" x14ac:dyDescent="0.2">
      <c r="C57" s="1"/>
      <c r="D57" s="1"/>
    </row>
    <row r="58" spans="2:15" x14ac:dyDescent="0.2">
      <c r="C58" s="1">
        <f>SUM(C46:C57)</f>
        <v>2266.62</v>
      </c>
      <c r="D58" s="1">
        <f>SUM(D50:D57)</f>
        <v>633.41499999999996</v>
      </c>
      <c r="E58" s="31">
        <f>SUM(E46:E57)</f>
        <v>0.85295147058823517</v>
      </c>
      <c r="N58" s="148"/>
      <c r="O58" s="148"/>
    </row>
    <row r="59" spans="2:15" x14ac:dyDescent="0.2">
      <c r="B59" t="s">
        <v>36</v>
      </c>
      <c r="C59" s="149">
        <f>C58+D58</f>
        <v>2900.0349999999999</v>
      </c>
      <c r="D59" s="150"/>
    </row>
    <row r="60" spans="2:15" x14ac:dyDescent="0.2">
      <c r="B60" t="s">
        <v>37</v>
      </c>
      <c r="C60" s="148">
        <f>E25-C59</f>
        <v>499.96500000000015</v>
      </c>
      <c r="D60" s="148"/>
      <c r="E60" s="30">
        <f>C60/E25</f>
        <v>0.14704852941176474</v>
      </c>
    </row>
  </sheetData>
  <mergeCells count="18">
    <mergeCell ref="M26:O26"/>
    <mergeCell ref="H14:I14"/>
    <mergeCell ref="H15:I15"/>
    <mergeCell ref="H16:I16"/>
    <mergeCell ref="H17:I17"/>
    <mergeCell ref="H18:I18"/>
    <mergeCell ref="H19:I19"/>
    <mergeCell ref="C60:D60"/>
    <mergeCell ref="H20:I20"/>
    <mergeCell ref="H21:I21"/>
    <mergeCell ref="H22:I22"/>
    <mergeCell ref="H23:I23"/>
    <mergeCell ref="H24:I24"/>
    <mergeCell ref="M28:O28"/>
    <mergeCell ref="G41:K41"/>
    <mergeCell ref="G52:K52"/>
    <mergeCell ref="N58:O58"/>
    <mergeCell ref="C59:D59"/>
  </mergeCells>
  <pageMargins left="0.511811024" right="0.511811024" top="0.78740157499999996" bottom="0.78740157499999996" header="0.31496062000000002" footer="0.31496062000000002"/>
  <pageSetup paperSize="9" orientation="portrait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6B9FB-16E8-0743-9EEC-BD7572063A6E}">
  <dimension ref="E9:P13"/>
  <sheetViews>
    <sheetView topLeftCell="C1" workbookViewId="0">
      <selection activeCell="G17" sqref="G17"/>
    </sheetView>
  </sheetViews>
  <sheetFormatPr baseColWidth="10" defaultRowHeight="16" x14ac:dyDescent="0.2"/>
  <cols>
    <col min="6" max="6" width="17.33203125" bestFit="1" customWidth="1"/>
    <col min="7" max="7" width="14.33203125" bestFit="1" customWidth="1"/>
    <col min="13" max="13" width="13.1640625" bestFit="1" customWidth="1"/>
  </cols>
  <sheetData>
    <row r="9" spans="5:16" ht="17" thickBot="1" x14ac:dyDescent="0.25"/>
    <row r="10" spans="5:16" ht="17" thickBot="1" x14ac:dyDescent="0.25">
      <c r="G10" s="4" t="s">
        <v>188</v>
      </c>
      <c r="H10" s="7" t="s">
        <v>189</v>
      </c>
      <c r="I10" s="115" t="s">
        <v>190</v>
      </c>
      <c r="J10" s="7" t="s">
        <v>189</v>
      </c>
      <c r="K10" s="115" t="s">
        <v>191</v>
      </c>
      <c r="L10" s="7" t="s">
        <v>189</v>
      </c>
      <c r="M10" s="115" t="s">
        <v>195</v>
      </c>
      <c r="N10" s="7" t="s">
        <v>189</v>
      </c>
      <c r="O10" s="115" t="s">
        <v>194</v>
      </c>
      <c r="P10" s="7" t="s">
        <v>189</v>
      </c>
    </row>
    <row r="11" spans="5:16" ht="17" thickBot="1" x14ac:dyDescent="0.25">
      <c r="E11" s="4" t="s">
        <v>185</v>
      </c>
      <c r="F11" s="6" t="s">
        <v>186</v>
      </c>
      <c r="G11" s="133">
        <f>'Semana 1 -  03.02 a.07.02'!E25</f>
        <v>4145</v>
      </c>
      <c r="H11" s="134" t="s">
        <v>10</v>
      </c>
      <c r="I11" s="133">
        <f>'Semana 1 -  03.02 a.07.02'!P26</f>
        <v>3.6141932207693288</v>
      </c>
      <c r="J11" s="134" t="s">
        <v>10</v>
      </c>
      <c r="K11" s="133">
        <f>'Semana 1 -  03.02 a.07.02'!AI28</f>
        <v>0.74434389140271495</v>
      </c>
      <c r="L11" s="134" t="s">
        <v>10</v>
      </c>
      <c r="M11" s="133">
        <f>'Semana 1 -  03.02 a.07.02'!O24</f>
        <v>877.2700000000001</v>
      </c>
      <c r="N11" s="134" t="s">
        <v>10</v>
      </c>
      <c r="O11" s="133">
        <f>'Semana 1 -  03.02 a.07.02'!C55</f>
        <v>643.41499999999996</v>
      </c>
      <c r="P11" s="134" t="s">
        <v>10</v>
      </c>
    </row>
    <row r="12" spans="5:16" ht="17" thickBot="1" x14ac:dyDescent="0.25">
      <c r="E12" s="22" t="s">
        <v>163</v>
      </c>
      <c r="F12" s="24" t="s">
        <v>187</v>
      </c>
      <c r="G12" s="132">
        <f>'Semana 2 -  08.02 a 14.02'!E25</f>
        <v>4825</v>
      </c>
      <c r="H12" s="135">
        <f>G12/G11-1</f>
        <v>0.16405307599517482</v>
      </c>
      <c r="I12" s="132">
        <f>'Semana 2 -  08.02 a 14.02'!P26</f>
        <v>3.4153458543289057</v>
      </c>
      <c r="J12" s="136">
        <f>I12/I11-1</f>
        <v>-5.501846589101167E-2</v>
      </c>
      <c r="K12" s="132">
        <f>'Semana 2 -  08.02 a 14.02'!AL28</f>
        <v>0.83578728564004845</v>
      </c>
      <c r="L12" s="136">
        <f>K12/K11-1</f>
        <v>0.1228510038082109</v>
      </c>
      <c r="M12" s="132">
        <f>'Semana 2 -  08.02 a 14.02'!O24</f>
        <v>1511.14</v>
      </c>
      <c r="N12" s="140">
        <f>M12/M11-1</f>
        <v>0.72254836025396973</v>
      </c>
      <c r="O12" s="132">
        <f>'Semana 2 -  08.02 a 14.02'!C60</f>
        <v>403.94499999999971</v>
      </c>
      <c r="P12" s="140">
        <f>O12/O11-1</f>
        <v>-0.37218591422332437</v>
      </c>
    </row>
    <row r="13" spans="5:16" ht="17" thickBot="1" x14ac:dyDescent="0.25">
      <c r="E13" s="22" t="s">
        <v>200</v>
      </c>
      <c r="F13" s="24" t="s">
        <v>212</v>
      </c>
      <c r="G13" s="132"/>
      <c r="H13" s="135">
        <f>G13/G12-1</f>
        <v>-1</v>
      </c>
      <c r="I13" s="132"/>
      <c r="J13" s="136">
        <f>I13/I12-1</f>
        <v>-1</v>
      </c>
      <c r="K13" s="132"/>
      <c r="L13" s="136">
        <f>K13/K12-1</f>
        <v>-1</v>
      </c>
      <c r="M13" s="132"/>
      <c r="N13" s="136">
        <f>M13/M12-1</f>
        <v>-1</v>
      </c>
      <c r="O13" s="132"/>
      <c r="P13" s="137">
        <f>O13/O12-1</f>
        <v>-1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6B047-094C-3E41-B4A5-6751CCE4D45F}">
  <dimension ref="C8:F24"/>
  <sheetViews>
    <sheetView workbookViewId="0">
      <selection activeCell="F36" sqref="F36"/>
    </sheetView>
  </sheetViews>
  <sheetFormatPr baseColWidth="10" defaultRowHeight="16" x14ac:dyDescent="0.2"/>
  <cols>
    <col min="3" max="3" width="36.33203125" bestFit="1" customWidth="1"/>
  </cols>
  <sheetData>
    <row r="8" spans="3:6" x14ac:dyDescent="0.2">
      <c r="C8" t="s">
        <v>217</v>
      </c>
      <c r="D8" s="1">
        <f>'Semana 1 -  03.02 a.07.02'!E25+'Semana 2 -  08.02 a 14.02'!E25</f>
        <v>8970</v>
      </c>
    </row>
    <row r="10" spans="3:6" x14ac:dyDescent="0.2">
      <c r="C10" t="s">
        <v>31</v>
      </c>
      <c r="D10" t="s">
        <v>5</v>
      </c>
    </row>
    <row r="11" spans="3:6" x14ac:dyDescent="0.2">
      <c r="C11" t="s">
        <v>33</v>
      </c>
      <c r="D11" s="1">
        <f>'Semana 1 -  03.02 a.07.02'!C41+'Semana 2 -  08.02 a 14.02'!C46</f>
        <v>1076.4000000000001</v>
      </c>
      <c r="E11" s="25" t="s">
        <v>10</v>
      </c>
      <c r="F11" s="26">
        <f>D11/$D$8</f>
        <v>0.12000000000000001</v>
      </c>
    </row>
    <row r="12" spans="3:6" x14ac:dyDescent="0.2">
      <c r="C12" t="s">
        <v>45</v>
      </c>
      <c r="D12" s="1">
        <f>'Semana 1 -  03.02 a.07.02'!C42+'Semana 2 -  08.02 a 14.02'!C47</f>
        <v>2691</v>
      </c>
      <c r="E12" s="25" t="s">
        <v>10</v>
      </c>
      <c r="F12" s="26">
        <f t="shared" ref="F12:F14" si="0">D12/$D$8</f>
        <v>0.3</v>
      </c>
    </row>
    <row r="13" spans="3:6" x14ac:dyDescent="0.2">
      <c r="C13" t="s">
        <v>32</v>
      </c>
      <c r="D13" s="1">
        <f>'Semana 1 -  03.02 a.07.02'!C43+'Semana 2 -  08.02 a 14.02'!C48</f>
        <v>2388.4100000000003</v>
      </c>
      <c r="E13" s="25" t="s">
        <v>10</v>
      </c>
      <c r="F13" s="26">
        <f t="shared" si="0"/>
        <v>0.26626644370122632</v>
      </c>
    </row>
    <row r="14" spans="3:6" x14ac:dyDescent="0.2">
      <c r="C14" t="s">
        <v>30</v>
      </c>
      <c r="D14" s="1">
        <f>'Semana 1 -  03.02 a.07.02'!C44+'Semana 2 -  08.02 a 14.02'!C49</f>
        <v>500</v>
      </c>
      <c r="E14" s="25" t="s">
        <v>10</v>
      </c>
      <c r="F14" s="26">
        <f t="shared" si="0"/>
        <v>5.5741360089186176E-2</v>
      </c>
    </row>
    <row r="15" spans="3:6" x14ac:dyDescent="0.2">
      <c r="C15" t="s">
        <v>139</v>
      </c>
      <c r="D15" s="1"/>
      <c r="E15" s="1">
        <f>'Semana 1 -  03.02 a.07.02'!D45+'Semana 2 -  08.02 a 14.02'!D50</f>
        <v>25</v>
      </c>
      <c r="F15" s="26">
        <f>E15/$D$8</f>
        <v>2.787068004459309E-3</v>
      </c>
    </row>
    <row r="16" spans="3:6" x14ac:dyDescent="0.2">
      <c r="C16" t="s">
        <v>64</v>
      </c>
      <c r="D16" s="25" t="s">
        <v>10</v>
      </c>
      <c r="E16" s="1">
        <f>'Semana 1 -  03.02 a.07.02'!D46+'Semana 2 -  08.02 a 14.02'!D51</f>
        <v>76.5</v>
      </c>
      <c r="F16" s="26">
        <f t="shared" ref="F16:F21" si="1">E16/$D$8</f>
        <v>8.5284280936454848E-3</v>
      </c>
    </row>
    <row r="17" spans="3:6" x14ac:dyDescent="0.2">
      <c r="C17" t="s">
        <v>46</v>
      </c>
      <c r="D17" s="25" t="s">
        <v>10</v>
      </c>
      <c r="E17" s="1">
        <f>'Semana 1 -  03.02 a.07.02'!D47+'Semana 2 -  08.02 a 14.02'!D52</f>
        <v>75</v>
      </c>
      <c r="F17" s="26">
        <f t="shared" si="1"/>
        <v>8.3612040133779261E-3</v>
      </c>
    </row>
    <row r="18" spans="3:6" x14ac:dyDescent="0.2">
      <c r="C18" t="s">
        <v>34</v>
      </c>
      <c r="D18" s="25" t="s">
        <v>10</v>
      </c>
      <c r="E18" s="1">
        <f>'Semana 1 -  03.02 a.07.02'!D48+'Semana 2 -  08.02 a 14.02'!D53</f>
        <v>91.5</v>
      </c>
      <c r="F18" s="26">
        <f t="shared" si="1"/>
        <v>1.0200668896321071E-2</v>
      </c>
    </row>
    <row r="19" spans="3:6" x14ac:dyDescent="0.2">
      <c r="C19" t="s">
        <v>35</v>
      </c>
      <c r="D19" s="25" t="s">
        <v>10</v>
      </c>
      <c r="E19" s="1">
        <f>'Semana 1 -  03.02 a.07.02'!D49+'Semana 2 -  08.02 a 14.02'!D54</f>
        <v>598.83000000000004</v>
      </c>
      <c r="F19" s="26">
        <f t="shared" si="1"/>
        <v>6.6759197324414724E-2</v>
      </c>
    </row>
    <row r="20" spans="3:6" x14ac:dyDescent="0.2">
      <c r="C20" t="s">
        <v>38</v>
      </c>
      <c r="D20" s="25" t="s">
        <v>10</v>
      </c>
      <c r="E20" s="1">
        <f>'Semana 1 -  03.02 a.07.02'!D50+'Semana 2 -  08.02 a 14.02'!D55</f>
        <v>200</v>
      </c>
      <c r="F20" s="26">
        <f t="shared" si="1"/>
        <v>2.2296544035674472E-2</v>
      </c>
    </row>
    <row r="21" spans="3:6" x14ac:dyDescent="0.2">
      <c r="C21" t="s">
        <v>39</v>
      </c>
      <c r="D21" s="25" t="s">
        <v>10</v>
      </c>
      <c r="E21" s="1">
        <f>'Semana 1 -  03.02 a.07.02'!D51+'Semana 2 -  08.02 a 14.02'!D56</f>
        <v>200</v>
      </c>
      <c r="F21" s="26">
        <f t="shared" si="1"/>
        <v>2.2296544035674472E-2</v>
      </c>
    </row>
    <row r="22" spans="3:6" x14ac:dyDescent="0.2">
      <c r="C22" t="s">
        <v>218</v>
      </c>
      <c r="D22" s="1">
        <f>D8-D11-D12-D13-D14-E15-E16-E17-E18-E19-E20-E21</f>
        <v>1047.3600000000001</v>
      </c>
      <c r="F22" s="26">
        <f t="shared" ref="F22" si="2">D22/$D$8</f>
        <v>0.11676254180602008</v>
      </c>
    </row>
    <row r="24" spans="3:6" x14ac:dyDescent="0.2">
      <c r="F24" s="141">
        <f>SUM(F11:F23)</f>
        <v>1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C9EA1-DFB1-064C-9203-5F0C09782D72}">
  <dimension ref="C6:K43"/>
  <sheetViews>
    <sheetView topLeftCell="A4" workbookViewId="0">
      <selection activeCell="I12" sqref="I12"/>
    </sheetView>
  </sheetViews>
  <sheetFormatPr baseColWidth="10" defaultRowHeight="16" x14ac:dyDescent="0.2"/>
  <cols>
    <col min="3" max="3" width="36.33203125" bestFit="1" customWidth="1"/>
    <col min="4" max="4" width="10.33203125" bestFit="1" customWidth="1"/>
    <col min="8" max="8" width="36.33203125" bestFit="1" customWidth="1"/>
    <col min="9" max="9" width="10.33203125" bestFit="1" customWidth="1"/>
  </cols>
  <sheetData>
    <row r="6" spans="3:11" ht="17" thickBot="1" x14ac:dyDescent="0.25"/>
    <row r="7" spans="3:11" ht="20" thickBot="1" x14ac:dyDescent="0.3">
      <c r="C7" s="90" t="s">
        <v>109</v>
      </c>
      <c r="D7" s="164">
        <v>4500</v>
      </c>
      <c r="E7" s="164"/>
      <c r="F7" s="165"/>
      <c r="H7" s="91" t="s">
        <v>109</v>
      </c>
      <c r="I7" s="166">
        <v>5000</v>
      </c>
      <c r="J7" s="166"/>
      <c r="K7" s="167"/>
    </row>
    <row r="8" spans="3:11" x14ac:dyDescent="0.2">
      <c r="C8" s="88"/>
      <c r="D8" s="78"/>
      <c r="E8" s="78"/>
      <c r="F8" s="89"/>
      <c r="H8" s="88"/>
      <c r="I8" s="78"/>
      <c r="J8" s="78"/>
      <c r="K8" s="89"/>
    </row>
    <row r="9" spans="3:11" x14ac:dyDescent="0.2">
      <c r="C9" s="14" t="s">
        <v>31</v>
      </c>
      <c r="D9" s="2" t="s">
        <v>5</v>
      </c>
      <c r="E9" s="2"/>
      <c r="F9" s="15"/>
      <c r="H9" s="14" t="s">
        <v>31</v>
      </c>
      <c r="I9" s="2" t="s">
        <v>5</v>
      </c>
      <c r="J9" s="2"/>
      <c r="K9" s="15"/>
    </row>
    <row r="10" spans="3:11" x14ac:dyDescent="0.2">
      <c r="C10" s="14" t="s">
        <v>33</v>
      </c>
      <c r="D10" s="3">
        <f>D7*0.12</f>
        <v>540</v>
      </c>
      <c r="E10" s="82" t="s">
        <v>10</v>
      </c>
      <c r="F10" s="84">
        <f>D10/$D$7</f>
        <v>0.12</v>
      </c>
      <c r="H10" s="14" t="s">
        <v>33</v>
      </c>
      <c r="I10" s="3">
        <f>I7*0.12</f>
        <v>600</v>
      </c>
      <c r="J10" s="82" t="s">
        <v>10</v>
      </c>
      <c r="K10" s="84">
        <f>I10/$D$7</f>
        <v>0.13333333333333333</v>
      </c>
    </row>
    <row r="11" spans="3:11" x14ac:dyDescent="0.2">
      <c r="C11" s="14" t="s">
        <v>45</v>
      </c>
      <c r="D11" s="3">
        <f>D7*0.3</f>
        <v>1350</v>
      </c>
      <c r="E11" s="82" t="s">
        <v>10</v>
      </c>
      <c r="F11" s="84">
        <f>D11/$D$7</f>
        <v>0.3</v>
      </c>
      <c r="H11" s="14" t="s">
        <v>45</v>
      </c>
      <c r="I11" s="3">
        <f>I7*0.3</f>
        <v>1500</v>
      </c>
      <c r="J11" s="82" t="s">
        <v>10</v>
      </c>
      <c r="K11" s="84">
        <f>I11/$D$7</f>
        <v>0.33333333333333331</v>
      </c>
    </row>
    <row r="12" spans="3:11" x14ac:dyDescent="0.2">
      <c r="C12" s="14" t="s">
        <v>32</v>
      </c>
      <c r="D12" s="3">
        <v>850</v>
      </c>
      <c r="E12" s="82" t="s">
        <v>10</v>
      </c>
      <c r="F12" s="84">
        <f>D12/$D$7</f>
        <v>0.18888888888888888</v>
      </c>
      <c r="H12" s="14" t="s">
        <v>32</v>
      </c>
      <c r="I12" s="3">
        <v>1100</v>
      </c>
      <c r="J12" s="82" t="s">
        <v>10</v>
      </c>
      <c r="K12" s="84">
        <f>I12/$D$7</f>
        <v>0.24444444444444444</v>
      </c>
    </row>
    <row r="13" spans="3:11" x14ac:dyDescent="0.2">
      <c r="C13" s="14" t="s">
        <v>30</v>
      </c>
      <c r="D13" s="3">
        <v>250</v>
      </c>
      <c r="E13" s="82" t="s">
        <v>10</v>
      </c>
      <c r="F13" s="84">
        <f>D13/$D$7</f>
        <v>5.5555555555555552E-2</v>
      </c>
      <c r="H13" s="14" t="s">
        <v>30</v>
      </c>
      <c r="I13" s="3">
        <v>250</v>
      </c>
      <c r="J13" s="82" t="s">
        <v>10</v>
      </c>
      <c r="K13" s="84">
        <f>I13/$D$7</f>
        <v>5.5555555555555552E-2</v>
      </c>
    </row>
    <row r="14" spans="3:11" x14ac:dyDescent="0.2">
      <c r="C14" s="14" t="s">
        <v>64</v>
      </c>
      <c r="D14" s="82" t="s">
        <v>10</v>
      </c>
      <c r="E14" s="3">
        <f>153/4</f>
        <v>38.25</v>
      </c>
      <c r="F14" s="84">
        <f t="shared" ref="F14:F19" si="0">E14/$D$7</f>
        <v>8.5000000000000006E-3</v>
      </c>
      <c r="H14" s="14" t="s">
        <v>64</v>
      </c>
      <c r="I14" s="82" t="s">
        <v>10</v>
      </c>
      <c r="J14" s="3">
        <f>153/4</f>
        <v>38.25</v>
      </c>
      <c r="K14" s="84">
        <f t="shared" ref="K14:K19" si="1">J14/$D$7</f>
        <v>8.5000000000000006E-3</v>
      </c>
    </row>
    <row r="15" spans="3:11" x14ac:dyDescent="0.2">
      <c r="C15" s="14" t="s">
        <v>46</v>
      </c>
      <c r="D15" s="82" t="s">
        <v>10</v>
      </c>
      <c r="E15" s="3">
        <f>150/4</f>
        <v>37.5</v>
      </c>
      <c r="F15" s="84">
        <f t="shared" si="0"/>
        <v>8.3333333333333332E-3</v>
      </c>
      <c r="H15" s="14" t="s">
        <v>46</v>
      </c>
      <c r="I15" s="82" t="s">
        <v>10</v>
      </c>
      <c r="J15" s="3">
        <f>150/4</f>
        <v>37.5</v>
      </c>
      <c r="K15" s="84">
        <f t="shared" si="1"/>
        <v>8.3333333333333332E-3</v>
      </c>
    </row>
    <row r="16" spans="3:11" x14ac:dyDescent="0.2">
      <c r="C16" s="14" t="s">
        <v>34</v>
      </c>
      <c r="D16" s="82" t="s">
        <v>10</v>
      </c>
      <c r="E16" s="3">
        <f>183/4</f>
        <v>45.75</v>
      </c>
      <c r="F16" s="84">
        <f t="shared" si="0"/>
        <v>1.0166666666666666E-2</v>
      </c>
      <c r="H16" s="14" t="s">
        <v>34</v>
      </c>
      <c r="I16" s="82" t="s">
        <v>10</v>
      </c>
      <c r="J16" s="3">
        <f>183/4</f>
        <v>45.75</v>
      </c>
      <c r="K16" s="84">
        <f t="shared" si="1"/>
        <v>1.0166666666666666E-2</v>
      </c>
    </row>
    <row r="17" spans="3:11" x14ac:dyDescent="0.2">
      <c r="C17" s="14" t="s">
        <v>35</v>
      </c>
      <c r="D17" s="82" t="s">
        <v>10</v>
      </c>
      <c r="E17" s="3">
        <f>1197.66/4</f>
        <v>299.41500000000002</v>
      </c>
      <c r="F17" s="84">
        <f t="shared" si="0"/>
        <v>6.6536666666666675E-2</v>
      </c>
      <c r="H17" s="14" t="s">
        <v>35</v>
      </c>
      <c r="I17" s="82" t="s">
        <v>10</v>
      </c>
      <c r="J17" s="3">
        <f>1197.66/4</f>
        <v>299.41500000000002</v>
      </c>
      <c r="K17" s="84">
        <f t="shared" si="1"/>
        <v>6.6536666666666675E-2</v>
      </c>
    </row>
    <row r="18" spans="3:11" x14ac:dyDescent="0.2">
      <c r="C18" s="14" t="s">
        <v>38</v>
      </c>
      <c r="D18" s="82" t="s">
        <v>10</v>
      </c>
      <c r="E18" s="83">
        <v>100</v>
      </c>
      <c r="F18" s="84">
        <f t="shared" si="0"/>
        <v>2.2222222222222223E-2</v>
      </c>
      <c r="H18" s="14" t="s">
        <v>38</v>
      </c>
      <c r="I18" s="82" t="s">
        <v>10</v>
      </c>
      <c r="J18" s="83">
        <v>100</v>
      </c>
      <c r="K18" s="84">
        <f t="shared" si="1"/>
        <v>2.2222222222222223E-2</v>
      </c>
    </row>
    <row r="19" spans="3:11" x14ac:dyDescent="0.2">
      <c r="C19" s="14" t="s">
        <v>39</v>
      </c>
      <c r="D19" s="82" t="s">
        <v>10</v>
      </c>
      <c r="E19" s="83">
        <v>100</v>
      </c>
      <c r="F19" s="84">
        <f t="shared" si="0"/>
        <v>2.2222222222222223E-2</v>
      </c>
      <c r="H19" s="14" t="s">
        <v>39</v>
      </c>
      <c r="I19" s="82" t="s">
        <v>10</v>
      </c>
      <c r="J19" s="83">
        <v>100</v>
      </c>
      <c r="K19" s="84">
        <f t="shared" si="1"/>
        <v>2.2222222222222223E-2</v>
      </c>
    </row>
    <row r="20" spans="3:11" x14ac:dyDescent="0.2">
      <c r="C20" s="14"/>
      <c r="D20" s="3"/>
      <c r="E20" s="3"/>
      <c r="F20" s="15"/>
      <c r="H20" s="14"/>
      <c r="I20" s="3"/>
      <c r="J20" s="3"/>
      <c r="K20" s="15"/>
    </row>
    <row r="21" spans="3:11" x14ac:dyDescent="0.2">
      <c r="C21" s="14"/>
      <c r="D21" s="3">
        <f>SUM(D10:D20)</f>
        <v>2990</v>
      </c>
      <c r="E21" s="3">
        <f>SUM(E14:E20)</f>
        <v>620.91499999999996</v>
      </c>
      <c r="F21" s="85">
        <f>SUM(F10:F20)</f>
        <v>0.8024255555555555</v>
      </c>
      <c r="H21" s="14"/>
      <c r="I21" s="3">
        <f>SUM(I10:I20)</f>
        <v>3450</v>
      </c>
      <c r="J21" s="3">
        <f>SUM(J14:J20)</f>
        <v>620.91499999999996</v>
      </c>
      <c r="K21" s="85">
        <f>SUM(K10:K20)</f>
        <v>0.90464777777777783</v>
      </c>
    </row>
    <row r="22" spans="3:11" x14ac:dyDescent="0.2">
      <c r="C22" s="14" t="s">
        <v>36</v>
      </c>
      <c r="D22" s="159">
        <f>D21+E21</f>
        <v>3610.915</v>
      </c>
      <c r="E22" s="160"/>
      <c r="F22" s="15"/>
      <c r="H22" s="14" t="s">
        <v>36</v>
      </c>
      <c r="I22" s="159">
        <f>I21+J21</f>
        <v>4070.915</v>
      </c>
      <c r="J22" s="160"/>
      <c r="K22" s="15"/>
    </row>
    <row r="23" spans="3:11" ht="17" thickBot="1" x14ac:dyDescent="0.25">
      <c r="C23" s="86" t="s">
        <v>37</v>
      </c>
      <c r="D23" s="161">
        <f>D7-D22</f>
        <v>889.08500000000004</v>
      </c>
      <c r="E23" s="161"/>
      <c r="F23" s="87">
        <f>D23/D7</f>
        <v>0.19757444444444444</v>
      </c>
      <c r="H23" s="86" t="s">
        <v>37</v>
      </c>
      <c r="I23" s="161">
        <f>I7-I22</f>
        <v>929.08500000000004</v>
      </c>
      <c r="J23" s="161"/>
      <c r="K23" s="87">
        <f>I23/I7</f>
        <v>0.18581700000000001</v>
      </c>
    </row>
    <row r="26" spans="3:11" ht="17" thickBot="1" x14ac:dyDescent="0.25"/>
    <row r="27" spans="3:11" ht="20" thickBot="1" x14ac:dyDescent="0.3">
      <c r="C27" s="92" t="s">
        <v>109</v>
      </c>
      <c r="D27" s="157">
        <v>5500</v>
      </c>
      <c r="E27" s="157"/>
      <c r="F27" s="158"/>
      <c r="H27" s="93" t="s">
        <v>109</v>
      </c>
      <c r="I27" s="162">
        <v>6000</v>
      </c>
      <c r="J27" s="162"/>
      <c r="K27" s="163"/>
    </row>
    <row r="28" spans="3:11" x14ac:dyDescent="0.2">
      <c r="C28" s="88"/>
      <c r="D28" s="78"/>
      <c r="E28" s="78"/>
      <c r="F28" s="89"/>
      <c r="H28" s="88"/>
      <c r="I28" s="78"/>
      <c r="J28" s="78"/>
      <c r="K28" s="89"/>
    </row>
    <row r="29" spans="3:11" x14ac:dyDescent="0.2">
      <c r="C29" s="14" t="s">
        <v>31</v>
      </c>
      <c r="D29" s="2" t="s">
        <v>5</v>
      </c>
      <c r="E29" s="2"/>
      <c r="F29" s="15"/>
      <c r="H29" s="14" t="s">
        <v>31</v>
      </c>
      <c r="I29" s="2" t="s">
        <v>5</v>
      </c>
      <c r="J29" s="2"/>
      <c r="K29" s="15"/>
    </row>
    <row r="30" spans="3:11" x14ac:dyDescent="0.2">
      <c r="C30" s="14" t="s">
        <v>33</v>
      </c>
      <c r="D30" s="3">
        <f>D27*0.12</f>
        <v>660</v>
      </c>
      <c r="E30" s="82" t="s">
        <v>10</v>
      </c>
      <c r="F30" s="84">
        <f>D30/$D$7</f>
        <v>0.14666666666666667</v>
      </c>
      <c r="H30" s="14" t="s">
        <v>33</v>
      </c>
      <c r="I30" s="3">
        <f>I27*0.12</f>
        <v>720</v>
      </c>
      <c r="J30" s="82" t="s">
        <v>10</v>
      </c>
      <c r="K30" s="84">
        <f>I30/$D$7</f>
        <v>0.16</v>
      </c>
    </row>
    <row r="31" spans="3:11" x14ac:dyDescent="0.2">
      <c r="C31" s="14" t="s">
        <v>45</v>
      </c>
      <c r="D31" s="3">
        <f>D27*0.3</f>
        <v>1650</v>
      </c>
      <c r="E31" s="82" t="s">
        <v>10</v>
      </c>
      <c r="F31" s="84">
        <f>D31/$D$7</f>
        <v>0.36666666666666664</v>
      </c>
      <c r="H31" s="14" t="s">
        <v>45</v>
      </c>
      <c r="I31" s="3">
        <f>I27*0.3</f>
        <v>1800</v>
      </c>
      <c r="J31" s="82" t="s">
        <v>10</v>
      </c>
      <c r="K31" s="84">
        <f>I31/$D$7</f>
        <v>0.4</v>
      </c>
    </row>
    <row r="32" spans="3:11" x14ac:dyDescent="0.2">
      <c r="C32" s="14" t="s">
        <v>32</v>
      </c>
      <c r="D32" s="3">
        <v>1300</v>
      </c>
      <c r="E32" s="82" t="s">
        <v>10</v>
      </c>
      <c r="F32" s="84">
        <f>D32/$D$7</f>
        <v>0.28888888888888886</v>
      </c>
      <c r="H32" s="14" t="s">
        <v>32</v>
      </c>
      <c r="I32" s="3">
        <v>1500</v>
      </c>
      <c r="J32" s="82" t="s">
        <v>10</v>
      </c>
      <c r="K32" s="84">
        <f>I32/$D$7</f>
        <v>0.33333333333333331</v>
      </c>
    </row>
    <row r="33" spans="3:11" x14ac:dyDescent="0.2">
      <c r="C33" s="14" t="s">
        <v>30</v>
      </c>
      <c r="D33" s="3">
        <v>250</v>
      </c>
      <c r="E33" s="82" t="s">
        <v>10</v>
      </c>
      <c r="F33" s="84">
        <f>D33/$D$7</f>
        <v>5.5555555555555552E-2</v>
      </c>
      <c r="H33" s="14" t="s">
        <v>30</v>
      </c>
      <c r="I33" s="3">
        <v>250</v>
      </c>
      <c r="J33" s="82" t="s">
        <v>10</v>
      </c>
      <c r="K33" s="84">
        <f>I33/$D$7</f>
        <v>5.5555555555555552E-2</v>
      </c>
    </row>
    <row r="34" spans="3:11" x14ac:dyDescent="0.2">
      <c r="C34" s="14" t="s">
        <v>64</v>
      </c>
      <c r="D34" s="82" t="s">
        <v>10</v>
      </c>
      <c r="E34" s="3">
        <f>153/4</f>
        <v>38.25</v>
      </c>
      <c r="F34" s="84">
        <f t="shared" ref="F34:F39" si="2">E34/$D$7</f>
        <v>8.5000000000000006E-3</v>
      </c>
      <c r="H34" s="14" t="s">
        <v>64</v>
      </c>
      <c r="I34" s="82" t="s">
        <v>10</v>
      </c>
      <c r="J34" s="3">
        <f>153/4</f>
        <v>38.25</v>
      </c>
      <c r="K34" s="84">
        <f t="shared" ref="K34:K39" si="3">J34/$D$7</f>
        <v>8.5000000000000006E-3</v>
      </c>
    </row>
    <row r="35" spans="3:11" x14ac:dyDescent="0.2">
      <c r="C35" s="14" t="s">
        <v>46</v>
      </c>
      <c r="D35" s="82" t="s">
        <v>10</v>
      </c>
      <c r="E35" s="3">
        <f>150/4</f>
        <v>37.5</v>
      </c>
      <c r="F35" s="84">
        <f t="shared" si="2"/>
        <v>8.3333333333333332E-3</v>
      </c>
      <c r="H35" s="14" t="s">
        <v>46</v>
      </c>
      <c r="I35" s="82" t="s">
        <v>10</v>
      </c>
      <c r="J35" s="3">
        <f>150/4</f>
        <v>37.5</v>
      </c>
      <c r="K35" s="84">
        <f t="shared" si="3"/>
        <v>8.3333333333333332E-3</v>
      </c>
    </row>
    <row r="36" spans="3:11" x14ac:dyDescent="0.2">
      <c r="C36" s="14" t="s">
        <v>34</v>
      </c>
      <c r="D36" s="82" t="s">
        <v>10</v>
      </c>
      <c r="E36" s="3">
        <f>183/4</f>
        <v>45.75</v>
      </c>
      <c r="F36" s="84">
        <f t="shared" si="2"/>
        <v>1.0166666666666666E-2</v>
      </c>
      <c r="H36" s="14" t="s">
        <v>34</v>
      </c>
      <c r="I36" s="82" t="s">
        <v>10</v>
      </c>
      <c r="J36" s="3">
        <f>183/4</f>
        <v>45.75</v>
      </c>
      <c r="K36" s="84">
        <f t="shared" si="3"/>
        <v>1.0166666666666666E-2</v>
      </c>
    </row>
    <row r="37" spans="3:11" x14ac:dyDescent="0.2">
      <c r="C37" s="14" t="s">
        <v>35</v>
      </c>
      <c r="D37" s="82" t="s">
        <v>10</v>
      </c>
      <c r="E37" s="3">
        <f>1197.66/4</f>
        <v>299.41500000000002</v>
      </c>
      <c r="F37" s="84">
        <f t="shared" si="2"/>
        <v>6.6536666666666675E-2</v>
      </c>
      <c r="H37" s="14" t="s">
        <v>35</v>
      </c>
      <c r="I37" s="82" t="s">
        <v>10</v>
      </c>
      <c r="J37" s="3">
        <f>1197.66/4</f>
        <v>299.41500000000002</v>
      </c>
      <c r="K37" s="84">
        <f t="shared" si="3"/>
        <v>6.6536666666666675E-2</v>
      </c>
    </row>
    <row r="38" spans="3:11" x14ac:dyDescent="0.2">
      <c r="C38" s="14" t="s">
        <v>38</v>
      </c>
      <c r="D38" s="82" t="s">
        <v>10</v>
      </c>
      <c r="E38" s="83">
        <v>100</v>
      </c>
      <c r="F38" s="84">
        <f t="shared" si="2"/>
        <v>2.2222222222222223E-2</v>
      </c>
      <c r="H38" s="14" t="s">
        <v>38</v>
      </c>
      <c r="I38" s="82" t="s">
        <v>10</v>
      </c>
      <c r="J38" s="83">
        <v>100</v>
      </c>
      <c r="K38" s="84">
        <f t="shared" si="3"/>
        <v>2.2222222222222223E-2</v>
      </c>
    </row>
    <row r="39" spans="3:11" x14ac:dyDescent="0.2">
      <c r="C39" s="14" t="s">
        <v>39</v>
      </c>
      <c r="D39" s="82" t="s">
        <v>10</v>
      </c>
      <c r="E39" s="83">
        <v>100</v>
      </c>
      <c r="F39" s="84">
        <f t="shared" si="2"/>
        <v>2.2222222222222223E-2</v>
      </c>
      <c r="H39" s="14" t="s">
        <v>39</v>
      </c>
      <c r="I39" s="82" t="s">
        <v>10</v>
      </c>
      <c r="J39" s="83">
        <v>100</v>
      </c>
      <c r="K39" s="84">
        <f t="shared" si="3"/>
        <v>2.2222222222222223E-2</v>
      </c>
    </row>
    <row r="40" spans="3:11" x14ac:dyDescent="0.2">
      <c r="C40" s="14"/>
      <c r="D40" s="3"/>
      <c r="E40" s="3"/>
      <c r="F40" s="15"/>
      <c r="H40" s="14"/>
      <c r="I40" s="3"/>
      <c r="J40" s="3"/>
      <c r="K40" s="15"/>
    </row>
    <row r="41" spans="3:11" x14ac:dyDescent="0.2">
      <c r="C41" s="14"/>
      <c r="D41" s="3">
        <f>SUM(D30:D40)</f>
        <v>3860</v>
      </c>
      <c r="E41" s="3">
        <f>SUM(E34:E40)</f>
        <v>620.91499999999996</v>
      </c>
      <c r="F41" s="85">
        <f>SUM(F30:F40)</f>
        <v>0.99575888888888886</v>
      </c>
      <c r="H41" s="14"/>
      <c r="I41" s="3">
        <f>SUM(I30:I40)</f>
        <v>4270</v>
      </c>
      <c r="J41" s="3">
        <f>SUM(J34:J40)</f>
        <v>620.91499999999996</v>
      </c>
      <c r="K41" s="85">
        <f>SUM(K30:K40)</f>
        <v>1.0868699999999998</v>
      </c>
    </row>
    <row r="42" spans="3:11" x14ac:dyDescent="0.2">
      <c r="C42" s="14" t="s">
        <v>36</v>
      </c>
      <c r="D42" s="159">
        <f>D41+E41</f>
        <v>4480.915</v>
      </c>
      <c r="E42" s="160"/>
      <c r="F42" s="15"/>
      <c r="H42" s="14" t="s">
        <v>36</v>
      </c>
      <c r="I42" s="159">
        <f>I41+J41</f>
        <v>4890.915</v>
      </c>
      <c r="J42" s="160"/>
      <c r="K42" s="15"/>
    </row>
    <row r="43" spans="3:11" ht="17" thickBot="1" x14ac:dyDescent="0.25">
      <c r="C43" s="86" t="s">
        <v>37</v>
      </c>
      <c r="D43" s="161">
        <f>D27-D42</f>
        <v>1019.085</v>
      </c>
      <c r="E43" s="161"/>
      <c r="F43" s="87">
        <f>D43/D27</f>
        <v>0.18528818181818182</v>
      </c>
      <c r="H43" s="86" t="s">
        <v>37</v>
      </c>
      <c r="I43" s="161">
        <f>I27-I42</f>
        <v>1109.085</v>
      </c>
      <c r="J43" s="161"/>
      <c r="K43" s="87">
        <f>I43/I27</f>
        <v>0.1848475</v>
      </c>
    </row>
  </sheetData>
  <mergeCells count="12">
    <mergeCell ref="D22:E22"/>
    <mergeCell ref="D23:E23"/>
    <mergeCell ref="D7:F7"/>
    <mergeCell ref="I7:K7"/>
    <mergeCell ref="I22:J22"/>
    <mergeCell ref="I23:J23"/>
    <mergeCell ref="D27:F27"/>
    <mergeCell ref="D42:E42"/>
    <mergeCell ref="D43:E43"/>
    <mergeCell ref="I27:K27"/>
    <mergeCell ref="I42:J42"/>
    <mergeCell ref="I43:J4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Semana 1 -  03.02 a.07.02</vt:lpstr>
      <vt:lpstr>Semana 2 -  08.02 a 14.02</vt:lpstr>
      <vt:lpstr>Semana 3 -  15.02 a 21.02 </vt:lpstr>
      <vt:lpstr>EVOLUÇÃO</vt:lpstr>
      <vt:lpstr>Resumo</vt:lpstr>
      <vt:lpstr>SIMILAÇOES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Domingos Diogenes</dc:creator>
  <cp:lastModifiedBy>Domingos Diogenes</cp:lastModifiedBy>
  <dcterms:created xsi:type="dcterms:W3CDTF">2026-01-21T16:46:51Z</dcterms:created>
  <dcterms:modified xsi:type="dcterms:W3CDTF">2026-02-19T18:30:01Z</dcterms:modified>
</cp:coreProperties>
</file>